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hidePivotFieldList="1" defaultThemeVersion="166925"/>
  <mc:AlternateContent xmlns:mc="http://schemas.openxmlformats.org/markup-compatibility/2006">
    <mc:Choice Requires="x15">
      <x15ac:absPath xmlns:x15ac="http://schemas.microsoft.com/office/spreadsheetml/2010/11/ac" url="D:\PW assignments\"/>
    </mc:Choice>
  </mc:AlternateContent>
  <xr:revisionPtr revIDLastSave="0" documentId="8_{BCEC4DDB-FB6B-4EF9-8822-C51DA04CED52}" xr6:coauthVersionLast="47" xr6:coauthVersionMax="47" xr10:uidLastSave="{00000000-0000-0000-0000-000000000000}"/>
  <bookViews>
    <workbookView xWindow="-108" yWindow="-108" windowWidth="23256" windowHeight="12456" xr2:uid="{8DEA4E07-1292-47CF-B160-7E95958E5CE4}"/>
  </bookViews>
  <sheets>
    <sheet name="Sheet5" sheetId="5" r:id="rId1"/>
    <sheet name="Sheet8" sheetId="12" r:id="rId2"/>
    <sheet name="dashboard" sheetId="2" r:id="rId3"/>
    <sheet name="Sheet2" sheetId="8" r:id="rId4"/>
  </sheets>
  <definedNames>
    <definedName name="Slicer_Location">#N/A</definedName>
    <definedName name="Slicer_Vehicle_Type">#N/A</definedName>
    <definedName name="Slicer_Weather_Condition">#N/A</definedName>
  </definedNames>
  <calcPr calcId="191029"/>
  <pivotCaches>
    <pivotCache cacheId="7" r:id="rId5"/>
  </pivotCaches>
  <extLst>
    <ext xmlns:x14="http://schemas.microsoft.com/office/spreadsheetml/2009/9/main" uri="{876F7934-8845-4945-9796-88D515C7AA90}">
      <x14:pivotCaches>
        <pivotCache cacheId="0" r:id="rId6"/>
      </x14:pivotCaches>
    </ex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4" i="5" l="1"/>
  <c r="E5" i="5"/>
  <c r="E6" i="5"/>
  <c r="E7" i="5"/>
  <c r="E8" i="5"/>
  <c r="E9" i="5"/>
  <c r="E10" i="5"/>
  <c r="E3" i="5"/>
  <c r="D3" i="5"/>
  <c r="D4" i="5"/>
  <c r="D5" i="5"/>
  <c r="D6" i="5"/>
  <c r="D7" i="5"/>
  <c r="D8" i="5"/>
  <c r="D9" i="5"/>
  <c r="D10" i="5"/>
</calcChain>
</file>

<file path=xl/sharedStrings.xml><?xml version="1.0" encoding="utf-8"?>
<sst xmlns="http://schemas.openxmlformats.org/spreadsheetml/2006/main" count="86" uniqueCount="67">
  <si>
    <t>Bob</t>
  </si>
  <si>
    <t>Emp Id</t>
  </si>
  <si>
    <t>Roy</t>
  </si>
  <si>
    <t>sejal</t>
  </si>
  <si>
    <t>reena</t>
  </si>
  <si>
    <t>sita</t>
  </si>
  <si>
    <t>ajay</t>
  </si>
  <si>
    <t>atul</t>
  </si>
  <si>
    <t>sahil</t>
  </si>
  <si>
    <t>product name</t>
  </si>
  <si>
    <t>stock level</t>
  </si>
  <si>
    <t>P1</t>
  </si>
  <si>
    <t>P2</t>
  </si>
  <si>
    <t>P3</t>
  </si>
  <si>
    <t>P4</t>
  </si>
  <si>
    <t>P5</t>
  </si>
  <si>
    <t>P6</t>
  </si>
  <si>
    <t>P7</t>
  </si>
  <si>
    <t>P8</t>
  </si>
  <si>
    <t>P9</t>
  </si>
  <si>
    <t>P10</t>
  </si>
  <si>
    <t>Laptop</t>
  </si>
  <si>
    <t>mouse</t>
  </si>
  <si>
    <t>keyboard</t>
  </si>
  <si>
    <t>monitor</t>
  </si>
  <si>
    <t>printer</t>
  </si>
  <si>
    <t>scanner</t>
  </si>
  <si>
    <t>webcam</t>
  </si>
  <si>
    <t>USB drive</t>
  </si>
  <si>
    <t>headphones</t>
  </si>
  <si>
    <t>router</t>
  </si>
  <si>
    <t>joining date</t>
  </si>
  <si>
    <t>exp(years)</t>
  </si>
  <si>
    <t>exp(months)</t>
  </si>
  <si>
    <t>emp name</t>
  </si>
  <si>
    <t>product id</t>
  </si>
  <si>
    <t>laptop</t>
  </si>
  <si>
    <t>usb drive</t>
  </si>
  <si>
    <t>Electronics</t>
  </si>
  <si>
    <t>Bookshelf</t>
  </si>
  <si>
    <t>Tablet</t>
  </si>
  <si>
    <t>Headphones</t>
  </si>
  <si>
    <t>Smartphone</t>
  </si>
  <si>
    <t>Dress</t>
  </si>
  <si>
    <t>Jeans</t>
  </si>
  <si>
    <t>Jacket</t>
  </si>
  <si>
    <t>Clothing</t>
  </si>
  <si>
    <t>Sofa</t>
  </si>
  <si>
    <t>Furniture</t>
  </si>
  <si>
    <t>Monitor</t>
  </si>
  <si>
    <t>T-shirt</t>
  </si>
  <si>
    <t>Cupboard</t>
  </si>
  <si>
    <t>Chair</t>
  </si>
  <si>
    <t>Table</t>
  </si>
  <si>
    <t>Shirt</t>
  </si>
  <si>
    <t>Row Labels</t>
  </si>
  <si>
    <t>Grand Total</t>
  </si>
  <si>
    <t>Sum of Revenue</t>
  </si>
  <si>
    <t>Column Labels</t>
  </si>
  <si>
    <t>Question 10</t>
  </si>
  <si>
    <t>Question 6</t>
  </si>
  <si>
    <t>Qustion 7</t>
  </si>
  <si>
    <t>charger</t>
  </si>
  <si>
    <t>Scanner</t>
  </si>
  <si>
    <t>web cam</t>
  </si>
  <si>
    <t>CPU</t>
  </si>
  <si>
    <t>Question 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</si>
</sst>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4" x14ac:knownFonts="1">
    <font>
      <sz val="11"/>
      <color theme="1"/>
      <name val="Calibri"/>
      <family val="2"/>
      <scheme val="minor"/>
    </font>
    <font>
      <sz val="10"/>
      <color rgb="FF000000"/>
      <name val="Calibri"/>
      <scheme val="minor"/>
    </font>
    <font>
      <sz val="8"/>
      <name val="Calibri"/>
      <family val="2"/>
      <scheme val="minor"/>
    </font>
    <font>
      <b/>
      <sz val="11"/>
      <color theme="1"/>
      <name val="Calibri"/>
      <family val="2"/>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0" fontId="1" fillId="0" borderId="0"/>
  </cellStyleXfs>
  <cellXfs count="10">
    <xf numFmtId="0" fontId="0" fillId="0" borderId="0" xfId="0"/>
    <xf numFmtId="14" fontId="0" fillId="0" borderId="0" xfId="0" applyNumberFormat="1"/>
    <xf numFmtId="0" fontId="0" fillId="0" borderId="1" xfId="0" applyBorder="1"/>
    <xf numFmtId="14" fontId="0" fillId="0" borderId="1" xfId="0" applyNumberFormat="1" applyBorder="1"/>
    <xf numFmtId="0" fontId="0" fillId="0" borderId="1" xfId="0" applyFill="1" applyBorder="1"/>
    <xf numFmtId="0" fontId="0" fillId="0" borderId="2" xfId="0" applyFill="1" applyBorder="1"/>
    <xf numFmtId="0" fontId="3" fillId="0" borderId="0" xfId="0" applyFont="1"/>
    <xf numFmtId="0" fontId="0" fillId="0" borderId="1" xfId="0" pivotButton="1" applyBorder="1"/>
    <xf numFmtId="0" fontId="0" fillId="0" borderId="1" xfId="0" applyBorder="1" applyAlignment="1">
      <alignment horizontal="left"/>
    </xf>
    <xf numFmtId="0" fontId="0" fillId="0" borderId="1" xfId="0" applyNumberFormat="1" applyBorder="1"/>
  </cellXfs>
  <cellStyles count="2">
    <cellStyle name="Normal" xfId="0" builtinId="0"/>
    <cellStyle name="Normal 2" xfId="1" xr:uid="{ADC93C6E-B13D-4660-B623-80932C307A45}"/>
  </cellStyles>
  <dxfs count="8">
    <dxf>
      <fill>
        <patternFill>
          <bgColor rgb="FF92D050"/>
        </patternFill>
      </fill>
    </dxf>
    <dxf>
      <fill>
        <patternFill>
          <bgColor rgb="FFFF0000"/>
        </patternFill>
      </fill>
    </dxf>
    <dxf>
      <fill>
        <patternFill>
          <bgColor rgb="FFFF0000"/>
        </patternFill>
      </fill>
    </dxf>
    <dxf>
      <fill>
        <patternFill>
          <bgColor rgb="FF00B050"/>
        </patternFill>
      </fill>
    </dxf>
    <dxf>
      <font>
        <color rgb="FF9C0006"/>
      </font>
      <fill>
        <patternFill>
          <bgColor rgb="FFFFC7CE"/>
        </patternFill>
      </fill>
    </dxf>
    <dxf>
      <fill>
        <patternFill>
          <bgColor rgb="FF92D050"/>
        </patternFill>
      </fill>
    </dxf>
    <dxf>
      <border>
        <bottom style="thin">
          <color indexed="64"/>
        </bottom>
      </border>
    </dxf>
    <dxf>
      <border>
        <left style="thin">
          <color indexed="64"/>
        </left>
        <right style="thin">
          <color indexed="64"/>
        </right>
        <top style="thin">
          <color indexed="64"/>
        </top>
        <vertical style="thin">
          <color indexed="64"/>
        </vertic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Accident</a:t>
            </a:r>
            <a:r>
              <a:rPr lang="en-US" baseline="0"/>
              <a:t> severity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pivotFmt>
    </c:pivotFmts>
    <c:plotArea>
      <c:layout/>
      <c:barChart>
        <c:barDir val="col"/>
        <c:grouping val="clustered"/>
        <c:varyColors val="0"/>
        <c:ser>
          <c:idx val="0"/>
          <c:order val="0"/>
          <c:tx>
            <c:v>Total</c:v>
          </c:tx>
          <c:spPr>
            <a:solidFill>
              <a:schemeClr val="accent2"/>
            </a:solidFill>
            <a:ln>
              <a:noFill/>
            </a:ln>
            <a:effectLst/>
          </c:spPr>
          <c:invertIfNegative val="0"/>
          <c:cat>
            <c:strLit>
              <c:ptCount val="4"/>
              <c:pt idx="0">
                <c:v>Fatal</c:v>
              </c:pt>
              <c:pt idx="1">
                <c:v>Minor</c:v>
              </c:pt>
              <c:pt idx="2">
                <c:v>Moderate</c:v>
              </c:pt>
              <c:pt idx="3">
                <c:v>Severe</c:v>
              </c:pt>
            </c:strLit>
          </c:cat>
          <c:val>
            <c:numLit>
              <c:formatCode>General</c:formatCode>
              <c:ptCount val="4"/>
              <c:pt idx="0">
                <c:v>24</c:v>
              </c:pt>
              <c:pt idx="1">
                <c:v>26</c:v>
              </c:pt>
              <c:pt idx="2">
                <c:v>22</c:v>
              </c:pt>
              <c:pt idx="3">
                <c:v>28</c:v>
              </c:pt>
            </c:numLit>
          </c:val>
          <c:extLst>
            <c:ext xmlns:c16="http://schemas.microsoft.com/office/drawing/2014/chart" uri="{C3380CC4-5D6E-409C-BE32-E72D297353CC}">
              <c16:uniqueId val="{00000000-2BD1-41C1-BB0F-44E825A85BB7}"/>
            </c:ext>
          </c:extLst>
        </c:ser>
        <c:dLbls>
          <c:showLegendKey val="0"/>
          <c:showVal val="0"/>
          <c:showCatName val="0"/>
          <c:showSerName val="0"/>
          <c:showPercent val="0"/>
          <c:showBubbleSize val="0"/>
        </c:dLbls>
        <c:gapWidth val="219"/>
        <c:overlap val="-27"/>
        <c:axId val="2054627615"/>
        <c:axId val="2054625951"/>
      </c:barChart>
      <c:catAx>
        <c:axId val="2054627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4625951"/>
        <c:crosses val="autoZero"/>
        <c:auto val="1"/>
        <c:lblAlgn val="ctr"/>
        <c:lblOffset val="100"/>
        <c:noMultiLvlLbl val="0"/>
      </c:catAx>
      <c:valAx>
        <c:axId val="2054625951"/>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20546276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Accident</a:t>
            </a:r>
            <a:r>
              <a:rPr lang="en-US" baseline="0"/>
              <a:t> by location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4762248468941385E-2"/>
          <c:y val="0.23550707203266255"/>
          <c:w val="0.78645603674540687"/>
          <c:h val="0.40722440944881888"/>
        </c:manualLayout>
      </c:layout>
      <c:barChart>
        <c:barDir val="col"/>
        <c:grouping val="clustered"/>
        <c:varyColors val="0"/>
        <c:ser>
          <c:idx val="0"/>
          <c:order val="0"/>
          <c:tx>
            <c:v>Total</c:v>
          </c:tx>
          <c:spPr>
            <a:solidFill>
              <a:schemeClr val="accent6"/>
            </a:solidFill>
            <a:ln>
              <a:noFill/>
            </a:ln>
            <a:effectLst/>
          </c:spPr>
          <c:invertIfNegative val="0"/>
          <c:cat>
            <c:strLit>
              <c:ptCount val="8"/>
              <c:pt idx="0">
                <c:v>Ahmedabad</c:v>
              </c:pt>
              <c:pt idx="1">
                <c:v>Bangalore</c:v>
              </c:pt>
              <c:pt idx="2">
                <c:v>Chennai</c:v>
              </c:pt>
              <c:pt idx="3">
                <c:v>Delhi</c:v>
              </c:pt>
              <c:pt idx="4">
                <c:v>Hyderabad</c:v>
              </c:pt>
              <c:pt idx="5">
                <c:v>Kolkata</c:v>
              </c:pt>
              <c:pt idx="6">
                <c:v>Mumbai</c:v>
              </c:pt>
              <c:pt idx="7">
                <c:v>Pune</c:v>
              </c:pt>
            </c:strLit>
          </c:cat>
          <c:val>
            <c:numLit>
              <c:formatCode>General</c:formatCode>
              <c:ptCount val="8"/>
              <c:pt idx="0">
                <c:v>9</c:v>
              </c:pt>
              <c:pt idx="1">
                <c:v>14</c:v>
              </c:pt>
              <c:pt idx="2">
                <c:v>12</c:v>
              </c:pt>
              <c:pt idx="3">
                <c:v>9</c:v>
              </c:pt>
              <c:pt idx="4">
                <c:v>17</c:v>
              </c:pt>
              <c:pt idx="5">
                <c:v>13</c:v>
              </c:pt>
              <c:pt idx="6">
                <c:v>15</c:v>
              </c:pt>
              <c:pt idx="7">
                <c:v>11</c:v>
              </c:pt>
            </c:numLit>
          </c:val>
          <c:extLst>
            <c:ext xmlns:c16="http://schemas.microsoft.com/office/drawing/2014/chart" uri="{C3380CC4-5D6E-409C-BE32-E72D297353CC}">
              <c16:uniqueId val="{00000000-1ED3-42C9-A94A-1633DFEEFB7A}"/>
            </c:ext>
          </c:extLst>
        </c:ser>
        <c:dLbls>
          <c:showLegendKey val="0"/>
          <c:showVal val="0"/>
          <c:showCatName val="0"/>
          <c:showSerName val="0"/>
          <c:showPercent val="0"/>
          <c:showBubbleSize val="0"/>
        </c:dLbls>
        <c:gapWidth val="219"/>
        <c:overlap val="-27"/>
        <c:axId val="240093423"/>
        <c:axId val="240095087"/>
      </c:barChart>
      <c:catAx>
        <c:axId val="240093423"/>
        <c:scaling>
          <c:orientation val="minMax"/>
        </c:scaling>
        <c:delete val="0"/>
        <c:axPos val="b"/>
        <c:numFmt formatCode="General" sourceLinked="1"/>
        <c:majorTickMark val="none"/>
        <c:minorTickMark val="none"/>
        <c:tickLblPos val="nextTo"/>
        <c:spPr>
          <a:noFill/>
          <a:ln w="9525" cap="sq"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40095087"/>
        <c:crosses val="autoZero"/>
        <c:auto val="1"/>
        <c:lblAlgn val="ctr"/>
        <c:lblOffset val="100"/>
        <c:noMultiLvlLbl val="0"/>
      </c:catAx>
      <c:valAx>
        <c:axId val="240095087"/>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2400934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Accident</a:t>
            </a:r>
            <a:r>
              <a:rPr lang="en-US" baseline="0"/>
              <a:t>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8575" cap="rnd">
              <a:solidFill>
                <a:schemeClr val="accent1"/>
              </a:solidFill>
              <a:round/>
            </a:ln>
            <a:effectLst/>
          </c:spPr>
          <c:marker>
            <c:symbol val="none"/>
          </c:marker>
          <c:cat>
            <c:strLit>
              <c:ptCount val="6"/>
              <c:pt idx="0">
                <c:v>Jan</c:v>
              </c:pt>
              <c:pt idx="1">
                <c:v>Feb</c:v>
              </c:pt>
              <c:pt idx="2">
                <c:v>Mar</c:v>
              </c:pt>
              <c:pt idx="3">
                <c:v>Apr</c:v>
              </c:pt>
              <c:pt idx="4">
                <c:v>May</c:v>
              </c:pt>
              <c:pt idx="5">
                <c:v>Jun</c:v>
              </c:pt>
            </c:strLit>
          </c:cat>
          <c:val>
            <c:numLit>
              <c:formatCode>General</c:formatCode>
              <c:ptCount val="6"/>
              <c:pt idx="0">
                <c:v>21</c:v>
              </c:pt>
              <c:pt idx="1">
                <c:v>11</c:v>
              </c:pt>
              <c:pt idx="2">
                <c:v>22</c:v>
              </c:pt>
              <c:pt idx="3">
                <c:v>15</c:v>
              </c:pt>
              <c:pt idx="4">
                <c:v>15</c:v>
              </c:pt>
              <c:pt idx="5">
                <c:v>16</c:v>
              </c:pt>
            </c:numLit>
          </c:val>
          <c:smooth val="0"/>
          <c:extLst>
            <c:ext xmlns:c16="http://schemas.microsoft.com/office/drawing/2014/chart" uri="{C3380CC4-5D6E-409C-BE32-E72D297353CC}">
              <c16:uniqueId val="{00000000-F6D3-4EC6-9D1A-B25E1C7805CC}"/>
            </c:ext>
          </c:extLst>
        </c:ser>
        <c:dLbls>
          <c:showLegendKey val="0"/>
          <c:showVal val="0"/>
          <c:showCatName val="0"/>
          <c:showSerName val="0"/>
          <c:showPercent val="0"/>
          <c:showBubbleSize val="0"/>
        </c:dLbls>
        <c:smooth val="0"/>
        <c:axId val="237224911"/>
        <c:axId val="237226159"/>
      </c:lineChart>
      <c:catAx>
        <c:axId val="237224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7226159"/>
        <c:crosses val="autoZero"/>
        <c:auto val="1"/>
        <c:lblAlgn val="ctr"/>
        <c:lblOffset val="100"/>
        <c:noMultiLvlLbl val="0"/>
      </c:catAx>
      <c:valAx>
        <c:axId val="237226159"/>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2372249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Accidents</a:t>
            </a:r>
            <a:r>
              <a:rPr lang="en-US" baseline="0"/>
              <a:t> by weather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4"/>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5"/>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s>
    <c:plotArea>
      <c:layout/>
      <c:pieChart>
        <c:varyColors val="1"/>
        <c:ser>
          <c:idx val="0"/>
          <c:order val="0"/>
          <c:tx>
            <c:v>Total</c:v>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DE44-4030-A234-23B14768280E}"/>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DE44-4030-A234-23B14768280E}"/>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7-DE44-4030-A234-23B14768280E}"/>
              </c:ext>
            </c:extLst>
          </c:dPt>
          <c:dPt>
            <c:idx val="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6-DE44-4030-A234-23B14768280E}"/>
              </c:ext>
            </c:extLst>
          </c:dPt>
          <c:dLbls>
            <c:dLbl>
              <c:idx val="0"/>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E44-4030-A234-23B14768280E}"/>
                </c:ext>
              </c:extLst>
            </c:dLbl>
            <c:dLbl>
              <c:idx val="1"/>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E44-4030-A234-23B14768280E}"/>
                </c:ext>
              </c:extLst>
            </c:dLbl>
            <c:dLbl>
              <c:idx val="2"/>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E44-4030-A234-23B14768280E}"/>
                </c:ext>
              </c:extLst>
            </c:dLbl>
            <c:dLbl>
              <c:idx val="3"/>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E44-4030-A234-23B14768280E}"/>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showLeaderLines val="0"/>
            <c:extLst>
              <c:ext xmlns:c15="http://schemas.microsoft.com/office/drawing/2012/chart" uri="{CE6537A1-D6FC-4f65-9D91-7224C49458BB}"/>
            </c:extLst>
          </c:dLbls>
          <c:cat>
            <c:strLit>
              <c:ptCount val="4"/>
              <c:pt idx="0">
                <c:v>Clear</c:v>
              </c:pt>
              <c:pt idx="1">
                <c:v>Foggy</c:v>
              </c:pt>
              <c:pt idx="2">
                <c:v>Rainy</c:v>
              </c:pt>
              <c:pt idx="3">
                <c:v>Windy</c:v>
              </c:pt>
            </c:strLit>
          </c:cat>
          <c:val>
            <c:numLit>
              <c:formatCode>General</c:formatCode>
              <c:ptCount val="4"/>
              <c:pt idx="0">
                <c:v>30</c:v>
              </c:pt>
              <c:pt idx="1">
                <c:v>23</c:v>
              </c:pt>
              <c:pt idx="2">
                <c:v>22</c:v>
              </c:pt>
              <c:pt idx="3">
                <c:v>25</c:v>
              </c:pt>
            </c:numLit>
          </c:val>
          <c:extLst>
            <c:ext xmlns:c16="http://schemas.microsoft.com/office/drawing/2014/chart" uri="{C3380CC4-5D6E-409C-BE32-E72D297353CC}">
              <c16:uniqueId val="{00000004-DE44-4030-A234-23B14768280E}"/>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4</xdr:col>
      <xdr:colOff>257945</xdr:colOff>
      <xdr:row>2</xdr:row>
      <xdr:rowOff>23319</xdr:rowOff>
    </xdr:from>
    <xdr:to>
      <xdr:col>11</xdr:col>
      <xdr:colOff>497808</xdr:colOff>
      <xdr:row>15</xdr:row>
      <xdr:rowOff>50431</xdr:rowOff>
    </xdr:to>
    <xdr:graphicFrame macro="">
      <xdr:nvGraphicFramePr>
        <xdr:cNvPr id="2" name="Chart 1">
          <a:extLst>
            <a:ext uri="{FF2B5EF4-FFF2-40B4-BE49-F238E27FC236}">
              <a16:creationId xmlns:a16="http://schemas.microsoft.com/office/drawing/2014/main" id="{5C4F0559-7A39-4ABB-A3A3-5E8E6BA199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558167</xdr:colOff>
      <xdr:row>2</xdr:row>
      <xdr:rowOff>35738</xdr:rowOff>
    </xdr:from>
    <xdr:to>
      <xdr:col>19</xdr:col>
      <xdr:colOff>93897</xdr:colOff>
      <xdr:row>14</xdr:row>
      <xdr:rowOff>179234</xdr:rowOff>
    </xdr:to>
    <xdr:graphicFrame macro="">
      <xdr:nvGraphicFramePr>
        <xdr:cNvPr id="3" name="Chart 2">
          <a:extLst>
            <a:ext uri="{FF2B5EF4-FFF2-40B4-BE49-F238E27FC236}">
              <a16:creationId xmlns:a16="http://schemas.microsoft.com/office/drawing/2014/main" id="{7B19A413-DA17-4DC6-8503-EC2F762C70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293077</xdr:colOff>
      <xdr:row>15</xdr:row>
      <xdr:rowOff>75156</xdr:rowOff>
    </xdr:from>
    <xdr:to>
      <xdr:col>11</xdr:col>
      <xdr:colOff>512487</xdr:colOff>
      <xdr:row>28</xdr:row>
      <xdr:rowOff>142352</xdr:rowOff>
    </xdr:to>
    <xdr:graphicFrame macro="">
      <xdr:nvGraphicFramePr>
        <xdr:cNvPr id="4" name="Chart 3">
          <a:extLst>
            <a:ext uri="{FF2B5EF4-FFF2-40B4-BE49-F238E27FC236}">
              <a16:creationId xmlns:a16="http://schemas.microsoft.com/office/drawing/2014/main" id="{0747087E-6F62-444F-B3EE-ECB35ED378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552659</xdr:colOff>
      <xdr:row>15</xdr:row>
      <xdr:rowOff>61985</xdr:rowOff>
    </xdr:from>
    <xdr:to>
      <xdr:col>19</xdr:col>
      <xdr:colOff>62351</xdr:colOff>
      <xdr:row>28</xdr:row>
      <xdr:rowOff>159099</xdr:rowOff>
    </xdr:to>
    <xdr:graphicFrame macro="">
      <xdr:nvGraphicFramePr>
        <xdr:cNvPr id="5" name="Chart 4">
          <a:extLst>
            <a:ext uri="{FF2B5EF4-FFF2-40B4-BE49-F238E27FC236}">
              <a16:creationId xmlns:a16="http://schemas.microsoft.com/office/drawing/2014/main" id="{FE3C3F46-FF8E-4531-8A61-B3890C682C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597727</xdr:colOff>
      <xdr:row>12</xdr:row>
      <xdr:rowOff>12137</xdr:rowOff>
    </xdr:from>
    <xdr:to>
      <xdr:col>4</xdr:col>
      <xdr:colOff>226089</xdr:colOff>
      <xdr:row>21</xdr:row>
      <xdr:rowOff>41868</xdr:rowOff>
    </xdr:to>
    <mc:AlternateContent xmlns:mc="http://schemas.openxmlformats.org/markup-compatibility/2006" xmlns:a14="http://schemas.microsoft.com/office/drawing/2010/main">
      <mc:Choice Requires="a14">
        <xdr:graphicFrame macro="">
          <xdr:nvGraphicFramePr>
            <xdr:cNvPr id="6" name="Location 1">
              <a:extLst>
                <a:ext uri="{FF2B5EF4-FFF2-40B4-BE49-F238E27FC236}">
                  <a16:creationId xmlns:a16="http://schemas.microsoft.com/office/drawing/2014/main" id="{DD5AD811-56FF-479D-9EFB-B2FCCC700B33}"/>
                </a:ext>
              </a:extLst>
            </xdr:cNvPr>
            <xdr:cNvGraphicFramePr/>
          </xdr:nvGraphicFramePr>
          <xdr:xfrm>
            <a:off x="0" y="0"/>
            <a:ext cx="0" cy="0"/>
          </xdr:xfrm>
          <a:graphic>
            <a:graphicData uri="http://schemas.microsoft.com/office/drawing/2010/slicer">
              <sle:slicer xmlns:sle="http://schemas.microsoft.com/office/drawing/2010/slicer" name="Location 1"/>
            </a:graphicData>
          </a:graphic>
        </xdr:graphicFrame>
      </mc:Choice>
      <mc:Fallback xmlns="">
        <xdr:sp macro="" textlink="">
          <xdr:nvSpPr>
            <xdr:cNvPr id="0" name=""/>
            <xdr:cNvSpPr>
              <a:spLocks noTextEdit="1"/>
            </xdr:cNvSpPr>
          </xdr:nvSpPr>
          <xdr:spPr>
            <a:xfrm>
              <a:off x="1209002" y="2038555"/>
              <a:ext cx="1462186" cy="16877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598761</xdr:colOff>
      <xdr:row>2</xdr:row>
      <xdr:rowOff>25120</xdr:rowOff>
    </xdr:from>
    <xdr:to>
      <xdr:col>4</xdr:col>
      <xdr:colOff>217714</xdr:colOff>
      <xdr:row>11</xdr:row>
      <xdr:rowOff>150725</xdr:rowOff>
    </xdr:to>
    <mc:AlternateContent xmlns:mc="http://schemas.openxmlformats.org/markup-compatibility/2006" xmlns:a14="http://schemas.microsoft.com/office/drawing/2010/main">
      <mc:Choice Requires="a14">
        <xdr:graphicFrame macro="">
          <xdr:nvGraphicFramePr>
            <xdr:cNvPr id="7" name="Vehicle Type 1">
              <a:extLst>
                <a:ext uri="{FF2B5EF4-FFF2-40B4-BE49-F238E27FC236}">
                  <a16:creationId xmlns:a16="http://schemas.microsoft.com/office/drawing/2014/main" id="{41C6B9FD-C53B-434F-A450-E657CCF8A32D}"/>
                </a:ext>
              </a:extLst>
            </xdr:cNvPr>
            <xdr:cNvGraphicFramePr/>
          </xdr:nvGraphicFramePr>
          <xdr:xfrm>
            <a:off x="0" y="0"/>
            <a:ext cx="0" cy="0"/>
          </xdr:xfrm>
          <a:graphic>
            <a:graphicData uri="http://schemas.microsoft.com/office/drawing/2010/slicer">
              <sle:slicer xmlns:sle="http://schemas.microsoft.com/office/drawing/2010/slicer" name="Vehicle Type 1"/>
            </a:graphicData>
          </a:graphic>
        </xdr:graphicFrame>
      </mc:Choice>
      <mc:Fallback xmlns="">
        <xdr:sp macro="" textlink="">
          <xdr:nvSpPr>
            <xdr:cNvPr id="0" name=""/>
            <xdr:cNvSpPr>
              <a:spLocks noTextEdit="1"/>
            </xdr:cNvSpPr>
          </xdr:nvSpPr>
          <xdr:spPr>
            <a:xfrm>
              <a:off x="1210036" y="209340"/>
              <a:ext cx="1452777" cy="17835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586812</xdr:colOff>
      <xdr:row>21</xdr:row>
      <xdr:rowOff>83924</xdr:rowOff>
    </xdr:from>
    <xdr:to>
      <xdr:col>4</xdr:col>
      <xdr:colOff>226088</xdr:colOff>
      <xdr:row>28</xdr:row>
      <xdr:rowOff>100483</xdr:rowOff>
    </xdr:to>
    <mc:AlternateContent xmlns:mc="http://schemas.openxmlformats.org/markup-compatibility/2006" xmlns:a14="http://schemas.microsoft.com/office/drawing/2010/main">
      <mc:Choice Requires="a14">
        <xdr:graphicFrame macro="">
          <xdr:nvGraphicFramePr>
            <xdr:cNvPr id="8" name="Weather Condition 1">
              <a:extLst>
                <a:ext uri="{FF2B5EF4-FFF2-40B4-BE49-F238E27FC236}">
                  <a16:creationId xmlns:a16="http://schemas.microsoft.com/office/drawing/2014/main" id="{3CBDAC8C-7CC0-490A-B65B-DAFE5DC537A4}"/>
                </a:ext>
              </a:extLst>
            </xdr:cNvPr>
            <xdr:cNvGraphicFramePr/>
          </xdr:nvGraphicFramePr>
          <xdr:xfrm>
            <a:off x="0" y="0"/>
            <a:ext cx="0" cy="0"/>
          </xdr:xfrm>
          <a:graphic>
            <a:graphicData uri="http://schemas.microsoft.com/office/drawing/2010/slicer">
              <sle:slicer xmlns:sle="http://schemas.microsoft.com/office/drawing/2010/slicer" name="Weather Condition 1"/>
            </a:graphicData>
          </a:graphic>
        </xdr:graphicFrame>
      </mc:Choice>
      <mc:Fallback xmlns="">
        <xdr:sp macro="" textlink="">
          <xdr:nvSpPr>
            <xdr:cNvPr id="0" name=""/>
            <xdr:cNvSpPr>
              <a:spLocks noTextEdit="1"/>
            </xdr:cNvSpPr>
          </xdr:nvSpPr>
          <xdr:spPr>
            <a:xfrm>
              <a:off x="1198087" y="3768320"/>
              <a:ext cx="1473100" cy="13060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21</xdr:row>
      <xdr:rowOff>0</xdr:rowOff>
    </xdr:from>
    <xdr:to>
      <xdr:col>17</xdr:col>
      <xdr:colOff>594360</xdr:colOff>
      <xdr:row>122</xdr:row>
      <xdr:rowOff>53340</xdr:rowOff>
    </xdr:to>
    <xdr:pic>
      <xdr:nvPicPr>
        <xdr:cNvPr id="2" name="Picture 1">
          <a:extLst>
            <a:ext uri="{FF2B5EF4-FFF2-40B4-BE49-F238E27FC236}">
              <a16:creationId xmlns:a16="http://schemas.microsoft.com/office/drawing/2014/main" id="{CC09B5FD-02AE-43F7-9242-33D8B6E1BBA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840480"/>
          <a:ext cx="11148060" cy="185242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ubham Gawas" refreshedDate="46029.32843321759" createdVersion="7" refreshedVersion="7" minRefreshableVersion="3" recordCount="100" xr:uid="{8F324BDB-C2BD-4917-90E2-D0B260E8FC5B}">
  <cacheSource type="worksheet">
    <worksheetSource name="sales"/>
  </cacheSource>
  <cacheFields count="14">
    <cacheField name="Customer ID" numFmtId="0">
      <sharedItems/>
    </cacheField>
    <cacheField name="Region" numFmtId="0">
      <sharedItems/>
    </cacheField>
    <cacheField name="Country" numFmtId="0">
      <sharedItems/>
    </cacheField>
    <cacheField name="State" numFmtId="0">
      <sharedItems/>
    </cacheField>
    <cacheField name="Phone Number" numFmtId="0">
      <sharedItems containsSemiMixedTypes="0" containsString="0" containsNumber="1" containsInteger="1" minValue="85" maxValue="99831923457"/>
    </cacheField>
    <cacheField name="Category" numFmtId="0">
      <sharedItems count="3">
        <s v="Clothing"/>
        <s v="Furniture"/>
        <s v="Electronics"/>
      </sharedItems>
    </cacheField>
    <cacheField name="Product" numFmtId="0">
      <sharedItems count="15">
        <s v="Shirt"/>
        <s v="Table"/>
        <s v="T-shirt"/>
        <s v="Sofa"/>
        <s v="Jeans"/>
        <s v="Dress"/>
        <s v="Chair"/>
        <s v="Tablet"/>
        <s v="Bookshelf"/>
        <s v="Monitor"/>
        <s v="Jacket"/>
        <s v="Headphones"/>
        <s v="Laptop"/>
        <s v="Smartphone"/>
        <s v="Cupboard"/>
      </sharedItems>
    </cacheField>
    <cacheField name="Price" numFmtId="0">
      <sharedItems containsSemiMixedTypes="0" containsString="0" containsNumber="1" minValue="238.37" maxValue="2896.96"/>
    </cacheField>
    <cacheField name="Units Sold" numFmtId="0">
      <sharedItems containsSemiMixedTypes="0" containsString="0" containsNumber="1" containsInteger="1" minValue="1" maxValue="15"/>
    </cacheField>
    <cacheField name="Profit" numFmtId="0">
      <sharedItems containsSemiMixedTypes="0" containsString="0" containsNumber="1" minValue="163.57" maxValue="11123.31"/>
    </cacheField>
    <cacheField name="Mode of Payment" numFmtId="0">
      <sharedItems/>
    </cacheField>
    <cacheField name="Revenue" numFmtId="0">
      <sharedItems containsSemiMixedTypes="0" containsString="0" containsNumber="1" minValue="1248.54" maxValue="42729.15"/>
    </cacheField>
    <cacheField name="Revenue Label" numFmtId="0">
      <sharedItems/>
    </cacheField>
    <cacheField name="Profit %" numFmtId="2">
      <sharedItems containsSemiMixedTypes="0" containsString="0" containsNumber="1" minValue="10.260379537094977" maxValue="29.979176582579726"/>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ubham Gawas" refreshedDate="46029.123467939811" createdVersion="7" refreshedVersion="7" minRefreshableVersion="3" recordCount="100" xr:uid="{632B9A27-0744-4DF9-9842-FB3833A8B6CE}">
  <cacheSource type="worksheet">
    <worksheetSource name="Accident_data"/>
  </cacheSource>
  <cacheFields count="11">
    <cacheField name="Accident ID" numFmtId="0">
      <sharedItems count="100">
        <s v="AID0001"/>
        <s v="AID0002"/>
        <s v="AID0003"/>
        <s v="AID0004"/>
        <s v="AID0005"/>
        <s v="AID0006"/>
        <s v="AID0007"/>
        <s v="AID0008"/>
        <s v="AID0009"/>
        <s v="AID0010"/>
        <s v="AID0011"/>
        <s v="AID0012"/>
        <s v="AID0013"/>
        <s v="AID0014"/>
        <s v="AID0015"/>
        <s v="AID0016"/>
        <s v="AID0017"/>
        <s v="AID0018"/>
        <s v="AID0019"/>
        <s v="AID0020"/>
        <s v="AID0021"/>
        <s v="AID0022"/>
        <s v="AID0023"/>
        <s v="AID0024"/>
        <s v="AID0025"/>
        <s v="AID0026"/>
        <s v="AID0027"/>
        <s v="AID0028"/>
        <s v="AID0029"/>
        <s v="AID0030"/>
        <s v="AID0031"/>
        <s v="AID0032"/>
        <s v="AID0033"/>
        <s v="AID0034"/>
        <s v="AID0035"/>
        <s v="AID0036"/>
        <s v="AID0037"/>
        <s v="AID0038"/>
        <s v="AID0039"/>
        <s v="AID0040"/>
        <s v="AID0041"/>
        <s v="AID0042"/>
        <s v="AID0043"/>
        <s v="AID0044"/>
        <s v="AID0045"/>
        <s v="AID0046"/>
        <s v="AID0047"/>
        <s v="AID0048"/>
        <s v="AID0049"/>
        <s v="AID0050"/>
        <s v="AID0051"/>
        <s v="AID0052"/>
        <s v="AID0053"/>
        <s v="AID0054"/>
        <s v="AID0055"/>
        <s v="AID0056"/>
        <s v="AID0057"/>
        <s v="AID0058"/>
        <s v="AID0059"/>
        <s v="AID0060"/>
        <s v="AID0061"/>
        <s v="AID0062"/>
        <s v="AID0063"/>
        <s v="AID0064"/>
        <s v="AID0065"/>
        <s v="AID0066"/>
        <s v="AID0067"/>
        <s v="AID0068"/>
        <s v="AID0069"/>
        <s v="AID0070"/>
        <s v="AID0071"/>
        <s v="AID0072"/>
        <s v="AID0073"/>
        <s v="AID0074"/>
        <s v="AID0075"/>
        <s v="AID0076"/>
        <s v="AID0077"/>
        <s v="AID0078"/>
        <s v="AID0079"/>
        <s v="AID0080"/>
        <s v="AID0081"/>
        <s v="AID0082"/>
        <s v="AID0083"/>
        <s v="AID0084"/>
        <s v="AID0085"/>
        <s v="AID0086"/>
        <s v="AID0087"/>
        <s v="AID0088"/>
        <s v="AID0089"/>
        <s v="AID0090"/>
        <s v="AID0091"/>
        <s v="AID0092"/>
        <s v="AID0093"/>
        <s v="AID0094"/>
        <s v="AID0095"/>
        <s v="AID0096"/>
        <s v="AID0097"/>
        <s v="AID0098"/>
        <s v="AID0099"/>
        <s v="AID0100"/>
      </sharedItems>
    </cacheField>
    <cacheField name="Date" numFmtId="164">
      <sharedItems containsSemiMixedTypes="0" containsNonDate="0" containsDate="1" containsString="0" minDate="2024-01-01T00:00:00" maxDate="2024-06-27T00:00:00" count="81">
        <d v="2024-01-01T00:00:00"/>
        <d v="2024-03-29T00:00:00"/>
        <d v="2024-01-05T00:00:00"/>
        <d v="2024-06-02T00:00:00"/>
        <d v="2024-02-28T00:00:00"/>
        <d v="2024-04-17T00:00:00"/>
        <d v="2024-02-16T00:00:00"/>
        <d v="2024-03-18T00:00:00"/>
        <d v="2024-05-13T00:00:00"/>
        <d v="2024-01-16T00:00:00"/>
        <d v="2024-01-08T00:00:00"/>
        <d v="2024-06-25T00:00:00"/>
        <d v="2024-04-02T00:00:00"/>
        <d v="2024-03-27T00:00:00"/>
        <d v="2024-05-19T00:00:00"/>
        <d v="2024-03-03T00:00:00"/>
        <d v="2024-03-08T00:00:00"/>
        <d v="2024-06-26T00:00:00"/>
        <d v="2024-01-26T00:00:00"/>
        <d v="2024-02-05T00:00:00"/>
        <d v="2024-06-07T00:00:00"/>
        <d v="2024-02-24T00:00:00"/>
        <d v="2024-06-04T00:00:00"/>
        <d v="2024-05-30T00:00:00"/>
        <d v="2024-04-04T00:00:00"/>
        <d v="2024-05-10T00:00:00"/>
        <d v="2024-03-02T00:00:00"/>
        <d v="2024-04-16T00:00:00"/>
        <d v="2024-06-09T00:00:00"/>
        <d v="2024-02-25T00:00:00"/>
        <d v="2024-06-24T00:00:00"/>
        <d v="2024-04-21T00:00:00"/>
        <d v="2024-01-02T00:00:00"/>
        <d v="2024-05-24T00:00:00"/>
        <d v="2024-01-23T00:00:00"/>
        <d v="2024-04-26T00:00:00"/>
        <d v="2024-03-14T00:00:00"/>
        <d v="2024-01-10T00:00:00"/>
        <d v="2024-04-28T00:00:00"/>
        <d v="2024-03-19T00:00:00"/>
        <d v="2024-03-20T00:00:00"/>
        <d v="2024-05-05T00:00:00"/>
        <d v="2024-04-20T00:00:00"/>
        <d v="2024-06-23T00:00:00"/>
        <d v="2024-04-01T00:00:00"/>
        <d v="2024-01-20T00:00:00"/>
        <d v="2024-02-23T00:00:00"/>
        <d v="2024-05-21T00:00:00"/>
        <d v="2024-03-23T00:00:00"/>
        <d v="2024-03-16T00:00:00"/>
        <d v="2024-05-14T00:00:00"/>
        <d v="2024-05-11T00:00:00"/>
        <d v="2024-03-04T00:00:00"/>
        <d v="2024-06-10T00:00:00"/>
        <d v="2024-03-09T00:00:00"/>
        <d v="2024-02-15T00:00:00"/>
        <d v="2024-01-11T00:00:00"/>
        <d v="2024-05-18T00:00:00"/>
        <d v="2024-06-05T00:00:00"/>
        <d v="2024-03-01T00:00:00"/>
        <d v="2024-06-17T00:00:00"/>
        <d v="2024-05-25T00:00:00"/>
        <d v="2024-02-08T00:00:00"/>
        <d v="2024-03-31T00:00:00"/>
        <d v="2024-02-07T00:00:00"/>
        <d v="2024-03-24T00:00:00"/>
        <d v="2024-01-29T00:00:00"/>
        <d v="2024-04-22T00:00:00"/>
        <d v="2024-05-12T00:00:00"/>
        <d v="2024-01-28T00:00:00"/>
        <d v="2024-01-17T00:00:00"/>
        <d v="2024-06-14T00:00:00"/>
        <d v="2024-03-22T00:00:00"/>
        <d v="2024-01-03T00:00:00"/>
        <d v="2024-06-15T00:00:00"/>
        <d v="2024-04-07T00:00:00"/>
        <d v="2024-06-13T00:00:00"/>
        <d v="2024-02-20T00:00:00"/>
        <d v="2024-01-22T00:00:00"/>
        <d v="2024-04-08T00:00:00"/>
        <d v="2024-06-21T00:00:00"/>
      </sharedItems>
      <fieldGroup par="10" base="1">
        <rangePr groupBy="days" startDate="2024-01-01T00:00:00" endDate="2024-06-27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7-06-2024"/>
        </groupItems>
      </fieldGroup>
    </cacheField>
    <cacheField name="Location" numFmtId="0">
      <sharedItems count="8">
        <s v="Hyderabad"/>
        <s v="Mumbai"/>
        <s v="Pune"/>
        <s v="Bangalore"/>
        <s v="Delhi"/>
        <s v="Ahmedabad"/>
        <s v="Chennai"/>
        <s v="Kolkata"/>
      </sharedItems>
    </cacheField>
    <cacheField name="Accident Type" numFmtId="0">
      <sharedItems/>
    </cacheField>
    <cacheField name="Vehicle Type" numFmtId="0">
      <sharedItems count="6">
        <s v="Auto-Rickshaw"/>
        <s v="Bicycle"/>
        <s v="Truck"/>
        <s v="Car"/>
        <s v="Motorcycle"/>
        <s v="Bus"/>
      </sharedItems>
    </cacheField>
    <cacheField name="Weather Condition" numFmtId="0">
      <sharedItems count="4">
        <s v="Clear"/>
        <s v="Foggy"/>
        <s v="Windy"/>
        <s v="Rainy"/>
      </sharedItems>
    </cacheField>
    <cacheField name="Road Condition" numFmtId="0">
      <sharedItems/>
    </cacheField>
    <cacheField name="Severity" numFmtId="0">
      <sharedItems count="4">
        <s v="Moderate"/>
        <s v="Fatal"/>
        <s v="Minor"/>
        <s v="Severe"/>
      </sharedItems>
    </cacheField>
    <cacheField name="Cause" numFmtId="0">
      <sharedItems/>
    </cacheField>
    <cacheField name="Casualties" numFmtId="0">
      <sharedItems containsSemiMixedTypes="0" containsString="0" containsNumber="1" containsInteger="1" minValue="0" maxValue="5"/>
    </cacheField>
    <cacheField name="Months" numFmtId="0" databaseField="0">
      <fieldGroup base="1">
        <rangePr groupBy="months" startDate="2024-01-01T00:00:00" endDate="2024-06-27T00:00:00"/>
        <groupItems count="14">
          <s v="&lt;01-01-2024"/>
          <s v="Jan"/>
          <s v="Feb"/>
          <s v="Mar"/>
          <s v="Apr"/>
          <s v="May"/>
          <s v="Jun"/>
          <s v="Jul"/>
          <s v="Aug"/>
          <s v="Sep"/>
          <s v="Oct"/>
          <s v="Nov"/>
          <s v="Dec"/>
          <s v="&gt;27-06-2024"/>
        </groupItems>
      </fieldGroup>
    </cacheField>
  </cacheFields>
  <extLst>
    <ext xmlns:x14="http://schemas.microsoft.com/office/spreadsheetml/2009/9/main" uri="{725AE2AE-9491-48be-B2B4-4EB974FC3084}">
      <x14:pivotCacheDefinition pivotCacheId="12939459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CUST1000"/>
    <s v="West"/>
    <s v="India"/>
    <s v="Karnataka"/>
    <n v="9515759149"/>
    <x v="0"/>
    <x v="0"/>
    <n v="2439.81"/>
    <n v="5"/>
    <n v="3559.55"/>
    <s v="Credit Card"/>
    <n v="12199.05"/>
    <s v="High"/>
    <n v="29.178911472614672"/>
  </r>
  <r>
    <s v="CUST1001"/>
    <s v="West"/>
    <s v="India"/>
    <s v="Karnataka"/>
    <n v="9720381947"/>
    <x v="1"/>
    <x v="1"/>
    <n v="1621.43"/>
    <n v="13"/>
    <n v="4029.57"/>
    <s v="Net Banking"/>
    <n v="21078.59"/>
    <s v="High"/>
    <n v="19.116885901760984"/>
  </r>
  <r>
    <s v="CUST1002"/>
    <s v="South"/>
    <s v="India"/>
    <s v="West Bengal"/>
    <n v="9483465530"/>
    <x v="0"/>
    <x v="2"/>
    <n v="1363.73"/>
    <n v="1"/>
    <n v="362.2"/>
    <s v="Net Banking"/>
    <n v="1363.73"/>
    <s v="Low"/>
    <n v="26.559509580342151"/>
  </r>
  <r>
    <s v="CUST1003"/>
    <s v="South"/>
    <s v="India"/>
    <s v="West Bengal"/>
    <n v="9350165589"/>
    <x v="1"/>
    <x v="3"/>
    <n v="1172.93"/>
    <n v="5"/>
    <n v="1542.65"/>
    <s v="Cash"/>
    <n v="5864.6500000000005"/>
    <s v="Medium"/>
    <n v="26.304212527601816"/>
  </r>
  <r>
    <s v="CUST1004"/>
    <s v="South"/>
    <s v="India"/>
    <s v="Karnataka"/>
    <n v="9621991901"/>
    <x v="0"/>
    <x v="4"/>
    <n v="2457.56"/>
    <n v="13"/>
    <n v="6972.71"/>
    <s v="Credit Card"/>
    <n v="31948.28"/>
    <s v="High"/>
    <n v="21.8249933955756"/>
  </r>
  <r>
    <s v="CUST1005"/>
    <s v="South"/>
    <s v="India"/>
    <s v="West Bengal"/>
    <n v="9734105442"/>
    <x v="0"/>
    <x v="5"/>
    <n v="2661.44"/>
    <n v="7"/>
    <n v="2581.67"/>
    <s v="Net Banking"/>
    <n v="18630.080000000002"/>
    <s v="High"/>
    <n v="13.857535770109413"/>
  </r>
  <r>
    <s v="CUST1006"/>
    <s v="East"/>
    <s v="India"/>
    <s v="Tamil Nadu"/>
    <n v="9117390999"/>
    <x v="0"/>
    <x v="2"/>
    <n v="1400.82"/>
    <n v="6"/>
    <n v="994.44"/>
    <s v="UPI"/>
    <n v="8404.92"/>
    <s v="Medium"/>
    <n v="11.831641467140676"/>
  </r>
  <r>
    <s v="CUST1007"/>
    <s v="West"/>
    <s v="India"/>
    <s v="Karnataka"/>
    <n v="9513032833"/>
    <x v="1"/>
    <x v="6"/>
    <n v="416.18"/>
    <n v="3"/>
    <n v="327.88"/>
    <s v="Net Banking"/>
    <n v="1248.54"/>
    <s v="Low"/>
    <n v="26.261072933185964"/>
  </r>
  <r>
    <s v="CUST1008"/>
    <s v="South"/>
    <s v="India"/>
    <s v="Maharashtra"/>
    <n v="95543976868"/>
    <x v="1"/>
    <x v="6"/>
    <n v="1290.47"/>
    <n v="6"/>
    <n v="1045.43"/>
    <s v="Net Banking"/>
    <n v="7742.82"/>
    <s v="Medium"/>
    <n v="13.501928238032141"/>
  </r>
  <r>
    <s v="CUST1009"/>
    <s v="West"/>
    <s v="India"/>
    <s v="Gujarat"/>
    <n v="9866250123"/>
    <x v="0"/>
    <x v="2"/>
    <n v="2519.94"/>
    <n v="15"/>
    <n v="11123.31"/>
    <s v="Cash"/>
    <n v="37799.1"/>
    <s v="High"/>
    <n v="29.427446685238539"/>
  </r>
  <r>
    <s v="CUST1010"/>
    <s v="South"/>
    <s v="India"/>
    <s v="Rajasthan"/>
    <n v="9884314044"/>
    <x v="0"/>
    <x v="2"/>
    <n v="2814.97"/>
    <n v="1"/>
    <n v="716.15"/>
    <s v="Net Banking"/>
    <n v="2814.97"/>
    <s v="Low"/>
    <n v="25.440768462896585"/>
  </r>
  <r>
    <s v="CUST1011"/>
    <s v="East"/>
    <s v="India"/>
    <s v="West Bengal"/>
    <n v="9192128284"/>
    <x v="0"/>
    <x v="4"/>
    <n v="841.72"/>
    <n v="13"/>
    <n v="2130.1799999999998"/>
    <s v="UPI"/>
    <n v="10942.36"/>
    <s v="High"/>
    <n v="19.467281281186143"/>
  </r>
  <r>
    <s v="CUST1012"/>
    <s v="North"/>
    <s v="India"/>
    <s v="West Bengal"/>
    <n v="9731590483"/>
    <x v="2"/>
    <x v="7"/>
    <n v="1169.28"/>
    <n v="2"/>
    <n v="273.95"/>
    <s v="Credit Card"/>
    <n v="2338.56"/>
    <s v="Low"/>
    <n v="11.714473864258347"/>
  </r>
  <r>
    <s v="CUST1013"/>
    <s v="West"/>
    <s v="India"/>
    <s v="Karnataka"/>
    <n v="9245312903"/>
    <x v="1"/>
    <x v="8"/>
    <n v="2320.0300000000002"/>
    <n v="3"/>
    <n v="1260.55"/>
    <s v="Credit Card"/>
    <n v="6960.09"/>
    <s v="Medium"/>
    <n v="18.111116379242219"/>
  </r>
  <r>
    <s v="CUST1014"/>
    <s v="North"/>
    <s v="India"/>
    <s v="West Bengal"/>
    <n v="9587137236"/>
    <x v="0"/>
    <x v="2"/>
    <n v="1780.66"/>
    <n v="11"/>
    <n v="2826.93"/>
    <s v="UPI"/>
    <n v="19587.260000000002"/>
    <s v="High"/>
    <n v="14.432493365585589"/>
  </r>
  <r>
    <s v="CUST1015"/>
    <s v="North"/>
    <s v="India"/>
    <s v="Tamil Nadu"/>
    <n v="9161819590"/>
    <x v="2"/>
    <x v="9"/>
    <n v="2672"/>
    <n v="15"/>
    <n v="4719.91"/>
    <s v="Cash"/>
    <n v="40080"/>
    <s v="High"/>
    <n v="11.776222554890218"/>
  </r>
  <r>
    <s v="CUST1016"/>
    <s v="South"/>
    <s v="India"/>
    <s v="West Bengal"/>
    <n v="9551484924"/>
    <x v="0"/>
    <x v="10"/>
    <n v="824.49"/>
    <n v="9"/>
    <n v="1403.14"/>
    <s v="Debit Card"/>
    <n v="7420.41"/>
    <s v="Medium"/>
    <n v="18.909197739747537"/>
  </r>
  <r>
    <s v="CUST1017"/>
    <s v="East"/>
    <s v="India"/>
    <s v="Uttar Pradesh"/>
    <n v="91682255459"/>
    <x v="2"/>
    <x v="11"/>
    <n v="2896.96"/>
    <n v="7"/>
    <n v="3528.3"/>
    <s v="Net Banking"/>
    <n v="20278.72"/>
    <s v="High"/>
    <n v="17.399027157532625"/>
  </r>
  <r>
    <s v="CUST1018"/>
    <s v="South"/>
    <s v="India"/>
    <s v="Maharashtra"/>
    <n v="9277023818"/>
    <x v="2"/>
    <x v="9"/>
    <n v="1235.32"/>
    <n v="9"/>
    <n v="2542.0700000000002"/>
    <s v="Debit Card"/>
    <n v="11117.88"/>
    <s v="High"/>
    <n v="22.864700824257866"/>
  </r>
  <r>
    <s v="CUST1019"/>
    <s v="East"/>
    <s v="India"/>
    <s v="Gujarat"/>
    <n v="9670448490"/>
    <x v="1"/>
    <x v="1"/>
    <n v="2168.33"/>
    <n v="3"/>
    <n v="1394.93"/>
    <s v="Cash"/>
    <n v="6504.99"/>
    <s v="Medium"/>
    <n v="21.443999145271555"/>
  </r>
  <r>
    <s v="CUST1020"/>
    <s v="East"/>
    <s v="India"/>
    <s v="West Bengal"/>
    <n v="9123788207"/>
    <x v="0"/>
    <x v="10"/>
    <n v="2654.54"/>
    <n v="5"/>
    <n v="3308.52"/>
    <s v="Debit Card"/>
    <n v="13272.7"/>
    <s v="High"/>
    <n v="24.92725669984253"/>
  </r>
  <r>
    <s v="CUST1021"/>
    <s v="West"/>
    <s v="India"/>
    <s v="Tamil Nadu"/>
    <n v="99831923457"/>
    <x v="2"/>
    <x v="12"/>
    <n v="1313.77"/>
    <n v="7"/>
    <n v="2435.5500000000002"/>
    <s v="Cash"/>
    <n v="9196.39"/>
    <s v="Medium"/>
    <n v="26.483761562961121"/>
  </r>
  <r>
    <s v="CUST1022"/>
    <s v="East"/>
    <s v="India"/>
    <s v="Gujarat"/>
    <n v="9822358874"/>
    <x v="2"/>
    <x v="11"/>
    <n v="1602.24"/>
    <n v="13"/>
    <n v="3082.85"/>
    <s v="Debit Card"/>
    <n v="20829.12"/>
    <s v="High"/>
    <n v="14.8006732881658"/>
  </r>
  <r>
    <s v="CUST1023"/>
    <s v="West"/>
    <s v="India"/>
    <s v="Uttar Pradesh"/>
    <n v="9497595031"/>
    <x v="1"/>
    <x v="3"/>
    <n v="592.33000000000004"/>
    <n v="4"/>
    <n v="539.64"/>
    <s v="Net Banking"/>
    <n v="2369.3200000000002"/>
    <s v="Low"/>
    <n v="22.776155183765802"/>
  </r>
  <r>
    <s v="CUST1024"/>
    <s v="South"/>
    <s v="India"/>
    <s v="Rajasthan"/>
    <n v="9781615192"/>
    <x v="2"/>
    <x v="9"/>
    <n v="589.14"/>
    <n v="8"/>
    <n v="1252.56"/>
    <s v="Cash"/>
    <n v="4713.12"/>
    <s v="Low"/>
    <n v="26.576026071901417"/>
  </r>
  <r>
    <s v="CUST1025"/>
    <s v="North"/>
    <s v="India"/>
    <s v="Uttar Pradesh"/>
    <n v="9310431691"/>
    <x v="1"/>
    <x v="6"/>
    <n v="2354.6"/>
    <n v="4"/>
    <n v="2575.4299999999998"/>
    <s v="Credit Card"/>
    <n v="9418.4"/>
    <s v="Medium"/>
    <n v="27.344665760638748"/>
  </r>
  <r>
    <s v="CUST1026"/>
    <s v="East"/>
    <s v="India"/>
    <s v="Uttar Pradesh"/>
    <n v="9375633062"/>
    <x v="2"/>
    <x v="13"/>
    <n v="1920.55"/>
    <n v="6"/>
    <n v="2254.59"/>
    <s v="Credit Card"/>
    <n v="11523.3"/>
    <s v="High"/>
    <n v="19.565489052615138"/>
  </r>
  <r>
    <s v="CUST1027"/>
    <s v="East"/>
    <s v="India"/>
    <s v="West Bengal"/>
    <n v="9958467371"/>
    <x v="0"/>
    <x v="5"/>
    <n v="1086.4100000000001"/>
    <n v="7"/>
    <n v="2066.7600000000002"/>
    <s v="Credit Card"/>
    <n v="7604.8700000000008"/>
    <s v="Medium"/>
    <n v="27.176795921560785"/>
  </r>
  <r>
    <s v="CUST1028"/>
    <s v="East"/>
    <s v="India"/>
    <s v="West Bengal"/>
    <n v="9485913642"/>
    <x v="1"/>
    <x v="8"/>
    <n v="1181.07"/>
    <n v="13"/>
    <n v="3821.07"/>
    <s v="Cash"/>
    <n v="15353.91"/>
    <s v="High"/>
    <n v="24.886624970447269"/>
  </r>
  <r>
    <s v="CUST1029"/>
    <s v="East"/>
    <s v="India"/>
    <s v="Uttar Pradesh"/>
    <n v="9942727052"/>
    <x v="1"/>
    <x v="14"/>
    <n v="2521.1999999999998"/>
    <n v="8"/>
    <n v="6046.68"/>
    <s v="Credit Card"/>
    <n v="20169.599999999999"/>
    <s v="High"/>
    <n v="29.979176582579726"/>
  </r>
  <r>
    <s v="CUST1030"/>
    <s v="South"/>
    <s v="India"/>
    <s v="Gujarat"/>
    <n v="9164209990"/>
    <x v="0"/>
    <x v="4"/>
    <n v="1741.71"/>
    <n v="15"/>
    <n v="4026.14"/>
    <s v="UPI"/>
    <n v="26125.65"/>
    <s v="High"/>
    <n v="15.410678777370132"/>
  </r>
  <r>
    <s v="CUST1031"/>
    <s v="South"/>
    <s v="India"/>
    <s v="Uttar Pradesh"/>
    <n v="9972130283"/>
    <x v="1"/>
    <x v="3"/>
    <n v="1691.18"/>
    <n v="9"/>
    <n v="3286.83"/>
    <s v="Net Banking"/>
    <n v="15220.62"/>
    <s v="High"/>
    <n v="21.594586817094179"/>
  </r>
  <r>
    <s v="CUST1032"/>
    <s v="South"/>
    <s v="India"/>
    <s v="Uttar Pradesh"/>
    <n v="9305312346"/>
    <x v="0"/>
    <x v="10"/>
    <n v="2430.4899999999998"/>
    <n v="1"/>
    <n v="538.34"/>
    <s v="Debit Card"/>
    <n v="2430.4899999999998"/>
    <s v="Low"/>
    <n v="22.14944311640863"/>
  </r>
  <r>
    <s v="CUST1033"/>
    <s v="West"/>
    <s v="India"/>
    <s v="Uttar Pradesh"/>
    <n v="9403336927"/>
    <x v="0"/>
    <x v="5"/>
    <n v="1937.5"/>
    <n v="10"/>
    <n v="2548.08"/>
    <s v="UPI"/>
    <n v="19375"/>
    <s v="High"/>
    <n v="13.151380645161289"/>
  </r>
  <r>
    <s v="CUST1034"/>
    <s v="North"/>
    <s v="India"/>
    <s v="Karnataka"/>
    <n v="9209432112"/>
    <x v="0"/>
    <x v="2"/>
    <n v="2848.61"/>
    <n v="15"/>
    <n v="6188.69"/>
    <s v="Debit Card"/>
    <n v="42729.15"/>
    <s v="High"/>
    <n v="14.483531734190827"/>
  </r>
  <r>
    <s v="CUST1035"/>
    <s v="North"/>
    <s v="India"/>
    <s v="Maharashtra"/>
    <n v="92886736565"/>
    <x v="1"/>
    <x v="14"/>
    <n v="537.01"/>
    <n v="15"/>
    <n v="848.33"/>
    <s v="Debit Card"/>
    <n v="8055.15"/>
    <s v="Medium"/>
    <n v="10.531523311173597"/>
  </r>
  <r>
    <s v="CUST1036"/>
    <s v="East"/>
    <s v="India"/>
    <s v="Karnataka"/>
    <n v="9696039067"/>
    <x v="1"/>
    <x v="3"/>
    <n v="2052.79"/>
    <n v="1"/>
    <n v="296.79000000000002"/>
    <s v="Net Banking"/>
    <n v="2052.79"/>
    <s v="Low"/>
    <n v="14.457884147915765"/>
  </r>
  <r>
    <s v="CUST1037"/>
    <s v="East"/>
    <s v="India"/>
    <s v="Maharashtra"/>
    <n v="9729755086"/>
    <x v="0"/>
    <x v="10"/>
    <n v="1708.1"/>
    <n v="3"/>
    <n v="897.22"/>
    <s v="Credit Card"/>
    <n v="5124.2999999999993"/>
    <s v="Medium"/>
    <n v="17.509123197314757"/>
  </r>
  <r>
    <s v="CUST1038"/>
    <s v="East"/>
    <s v="India"/>
    <s v="Uttar Pradesh"/>
    <n v="9291717779"/>
    <x v="2"/>
    <x v="11"/>
    <n v="1616.55"/>
    <n v="14"/>
    <n v="6621.29"/>
    <s v="Credit Card"/>
    <n v="22631.7"/>
    <s v="High"/>
    <n v="29.256706301338387"/>
  </r>
  <r>
    <s v="CUST1039"/>
    <s v="East"/>
    <s v="India"/>
    <s v="Karnataka"/>
    <n v="9596984707"/>
    <x v="0"/>
    <x v="4"/>
    <n v="1774.62"/>
    <n v="7"/>
    <n v="3378.16"/>
    <s v="Credit Card"/>
    <n v="12422.34"/>
    <s v="High"/>
    <n v="27.194232326598687"/>
  </r>
  <r>
    <s v="CUST1040"/>
    <s v="South"/>
    <s v="India"/>
    <s v="Gujarat"/>
    <n v="9621477109"/>
    <x v="2"/>
    <x v="13"/>
    <n v="644.14"/>
    <n v="12"/>
    <n v="988.52"/>
    <s v="Cash"/>
    <n v="7729.68"/>
    <s v="Medium"/>
    <n v="12.788627731031553"/>
  </r>
  <r>
    <s v="CUST1041"/>
    <s v="South"/>
    <s v="India"/>
    <s v="West Bengal"/>
    <n v="9813614929"/>
    <x v="1"/>
    <x v="3"/>
    <n v="1767.47"/>
    <n v="13"/>
    <n v="3353.4"/>
    <s v="UPI"/>
    <n v="22977.11"/>
    <s v="High"/>
    <n v="14.594524724823966"/>
  </r>
  <r>
    <s v="CUST1042"/>
    <s v="East"/>
    <s v="India"/>
    <s v="Tamil Nadu"/>
    <n v="9314930259"/>
    <x v="0"/>
    <x v="5"/>
    <n v="2506.6"/>
    <n v="11"/>
    <n v="8011.16"/>
    <s v="UPI"/>
    <n v="27572.6"/>
    <s v="High"/>
    <n v="29.05478627332932"/>
  </r>
  <r>
    <s v="CUST1043"/>
    <s v="West"/>
    <s v="India"/>
    <s v="West Bengal"/>
    <n v="93262535688"/>
    <x v="2"/>
    <x v="7"/>
    <n v="727.87"/>
    <n v="2"/>
    <n v="385.93"/>
    <s v="Credit Card"/>
    <n v="1455.74"/>
    <s v="Low"/>
    <n v="26.510915410718951"/>
  </r>
  <r>
    <s v="CUST1044"/>
    <s v="West"/>
    <s v="India"/>
    <s v="Uttar Pradesh"/>
    <n v="9922473225"/>
    <x v="1"/>
    <x v="3"/>
    <n v="2509.39"/>
    <n v="4"/>
    <n v="2607.48"/>
    <s v="Credit Card"/>
    <n v="10037.56"/>
    <s v="High"/>
    <n v="25.977229525900718"/>
  </r>
  <r>
    <s v="CUST1045"/>
    <s v="North"/>
    <s v="India"/>
    <s v="Rajasthan"/>
    <n v="9435049619"/>
    <x v="2"/>
    <x v="9"/>
    <n v="254.27"/>
    <n v="5"/>
    <n v="247.89"/>
    <s v="Net Banking"/>
    <n v="1271.3500000000001"/>
    <s v="Low"/>
    <n v="19.498171235301054"/>
  </r>
  <r>
    <s v="CUST1046"/>
    <s v="East"/>
    <s v="India"/>
    <s v="Uttar Pradesh"/>
    <n v="9139717689"/>
    <x v="2"/>
    <x v="7"/>
    <n v="1104.23"/>
    <n v="11"/>
    <n v="1883.37"/>
    <s v="Credit Card"/>
    <n v="12146.53"/>
    <s v="High"/>
    <n v="15.50541595006969"/>
  </r>
  <r>
    <s v="CUST1047"/>
    <s v="South"/>
    <s v="India"/>
    <s v="West Bengal"/>
    <n v="9873282041"/>
    <x v="2"/>
    <x v="12"/>
    <n v="861.53"/>
    <n v="3"/>
    <n v="482.01"/>
    <s v="Debit Card"/>
    <n v="2584.59"/>
    <s v="Low"/>
    <n v="18.649379592120994"/>
  </r>
  <r>
    <s v="CUST1048"/>
    <s v="North"/>
    <s v="India"/>
    <s v="West Bengal"/>
    <n v="9520705759"/>
    <x v="0"/>
    <x v="2"/>
    <n v="940.76"/>
    <n v="4"/>
    <n v="842.47"/>
    <s v="Debit Card"/>
    <n v="3763.04"/>
    <s v="Low"/>
    <n v="22.38801607211191"/>
  </r>
  <r>
    <s v="CUST1049"/>
    <s v="East"/>
    <s v="India"/>
    <s v="West Bengal"/>
    <n v="9648648568"/>
    <x v="0"/>
    <x v="2"/>
    <n v="1505.5"/>
    <n v="11"/>
    <n v="3985.19"/>
    <s v="Debit Card"/>
    <n v="16560.5"/>
    <s v="High"/>
    <n v="24.064430421786781"/>
  </r>
  <r>
    <s v="CUST1050"/>
    <s v="West"/>
    <s v="India"/>
    <s v="Uttar Pradesh"/>
    <n v="9416435713"/>
    <x v="0"/>
    <x v="4"/>
    <n v="1477.49"/>
    <n v="11"/>
    <n v="2428.98"/>
    <s v="Credit Card"/>
    <n v="16252.39"/>
    <s v="High"/>
    <n v="14.945371111571898"/>
  </r>
  <r>
    <s v="CUST1051"/>
    <s v="East"/>
    <s v="India"/>
    <s v="Rajasthan"/>
    <n v="9211381294"/>
    <x v="1"/>
    <x v="6"/>
    <n v="704.64"/>
    <n v="2"/>
    <n v="163.57"/>
    <s v="UPI"/>
    <n v="1409.28"/>
    <s v="Low"/>
    <n v="11.606636012715713"/>
  </r>
  <r>
    <s v="CUST1052"/>
    <s v="North"/>
    <s v="India"/>
    <s v="West Bengal"/>
    <n v="9791244114"/>
    <x v="1"/>
    <x v="14"/>
    <n v="2030.2"/>
    <n v="13"/>
    <n v="3695.03"/>
    <s v="Net Banking"/>
    <n v="26392.600000000002"/>
    <s v="High"/>
    <n v="14.000250070095404"/>
  </r>
  <r>
    <s v="CUST1053"/>
    <s v="West"/>
    <s v="India"/>
    <s v="Rajasthan"/>
    <n v="9194670146"/>
    <x v="0"/>
    <x v="0"/>
    <n v="1822.28"/>
    <n v="4"/>
    <n v="1973.2"/>
    <s v="Cash"/>
    <n v="7289.12"/>
    <s v="Medium"/>
    <n v="27.070483131022677"/>
  </r>
  <r>
    <s v="CUST1054"/>
    <s v="North"/>
    <s v="India"/>
    <s v="Maharashtra"/>
    <n v="9519275644"/>
    <x v="1"/>
    <x v="3"/>
    <n v="600.17999999999995"/>
    <n v="11"/>
    <n v="1525.57"/>
    <s v="Credit Card"/>
    <n v="6601.98"/>
    <s v="Medium"/>
    <n v="23.107764640304879"/>
  </r>
  <r>
    <s v="CUST1055"/>
    <s v="South"/>
    <s v="India"/>
    <s v="Maharashtra"/>
    <n v="9520013561"/>
    <x v="0"/>
    <x v="2"/>
    <n v="2330.36"/>
    <n v="7"/>
    <n v="3532.26"/>
    <s v="Debit Card"/>
    <n v="16312.52"/>
    <s v="High"/>
    <n v="21.653674600858729"/>
  </r>
  <r>
    <s v="CUST1056"/>
    <s v="North"/>
    <s v="India"/>
    <s v="Gujarat"/>
    <n v="95989895092"/>
    <x v="2"/>
    <x v="11"/>
    <n v="1084.67"/>
    <n v="13"/>
    <n v="4140.1400000000003"/>
    <s v="Cash"/>
    <n v="14100.710000000001"/>
    <s v="High"/>
    <n v="29.361216562853926"/>
  </r>
  <r>
    <s v="CUST1057"/>
    <s v="East"/>
    <s v="India"/>
    <s v="Uttar Pradesh"/>
    <n v="9499862542"/>
    <x v="1"/>
    <x v="14"/>
    <n v="1893.55"/>
    <n v="12"/>
    <n v="3204.64"/>
    <s v="Net Banking"/>
    <n v="22722.6"/>
    <s v="High"/>
    <n v="14.103315641695932"/>
  </r>
  <r>
    <s v="CUST1058"/>
    <s v="North"/>
    <s v="India"/>
    <s v="Gujarat"/>
    <n v="9724136290"/>
    <x v="1"/>
    <x v="6"/>
    <n v="1747.22"/>
    <n v="6"/>
    <n v="2678.22"/>
    <s v="Cash"/>
    <n v="10483.32"/>
    <s v="High"/>
    <n v="25.547441077826488"/>
  </r>
  <r>
    <s v="CUST1059"/>
    <s v="East"/>
    <s v="India"/>
    <s v="Gujarat"/>
    <n v="9321909198"/>
    <x v="1"/>
    <x v="8"/>
    <n v="287.31"/>
    <n v="8"/>
    <n v="381.56"/>
    <s v="Debit Card"/>
    <n v="2298.48"/>
    <s v="Low"/>
    <n v="16.600536006404234"/>
  </r>
  <r>
    <s v="CUST1060"/>
    <s v="North"/>
    <s v="India"/>
    <s v="Maharashtra"/>
    <n v="9760693305"/>
    <x v="0"/>
    <x v="0"/>
    <n v="1700.05"/>
    <n v="2"/>
    <n v="383.92"/>
    <s v="UPI"/>
    <n v="3400.1"/>
    <s v="Low"/>
    <n v="11.291432604923385"/>
  </r>
  <r>
    <s v="CUST1061"/>
    <s v="East"/>
    <s v="India"/>
    <s v="Gujarat"/>
    <n v="9658575570"/>
    <x v="1"/>
    <x v="8"/>
    <n v="1180.31"/>
    <n v="7"/>
    <n v="847.73"/>
    <s v="UPI"/>
    <n v="8262.17"/>
    <s v="Medium"/>
    <n v="10.260379537094977"/>
  </r>
  <r>
    <s v="CUST1062"/>
    <s v="South"/>
    <s v="India"/>
    <s v="Gujarat"/>
    <n v="9950273824"/>
    <x v="1"/>
    <x v="14"/>
    <n v="653.35"/>
    <n v="4"/>
    <n v="345.46"/>
    <s v="Credit Card"/>
    <n v="2613.4"/>
    <s v="Low"/>
    <n v="13.218795438891865"/>
  </r>
  <r>
    <s v="CUST1063"/>
    <s v="South"/>
    <s v="India"/>
    <s v="Tamil Nadu"/>
    <n v="9898816813"/>
    <x v="2"/>
    <x v="12"/>
    <n v="1881.74"/>
    <n v="4"/>
    <n v="1363.83"/>
    <s v="Debit Card"/>
    <n v="7526.96"/>
    <s v="Medium"/>
    <n v="18.119267273906065"/>
  </r>
  <r>
    <s v="CUST1064"/>
    <s v="North"/>
    <s v="India"/>
    <s v="Rajasthan"/>
    <n v="9571594565"/>
    <x v="1"/>
    <x v="1"/>
    <n v="1206.3499999999999"/>
    <n v="15"/>
    <n v="2801.82"/>
    <s v="UPI"/>
    <n v="18095.25"/>
    <s v="High"/>
    <n v="15.483731918597424"/>
  </r>
  <r>
    <s v="CUST1065"/>
    <s v="South"/>
    <s v="India"/>
    <s v="Maharashtra"/>
    <n v="9684352160"/>
    <x v="0"/>
    <x v="10"/>
    <n v="1849.95"/>
    <n v="5"/>
    <n v="2111.02"/>
    <s v="Debit Card"/>
    <n v="9249.75"/>
    <s v="Medium"/>
    <n v="22.822454660936781"/>
  </r>
  <r>
    <s v="CUST1066"/>
    <s v="West"/>
    <s v="India"/>
    <s v="West Bengal"/>
    <n v="9845713875"/>
    <x v="2"/>
    <x v="7"/>
    <n v="1896.1"/>
    <n v="5"/>
    <n v="2676.46"/>
    <s v="Debit Card"/>
    <n v="9480.5"/>
    <s v="Medium"/>
    <n v="28.231211433996094"/>
  </r>
  <r>
    <s v="CUST1067"/>
    <s v="South"/>
    <s v="India"/>
    <s v="Tamil Nadu"/>
    <n v="85"/>
    <x v="1"/>
    <x v="8"/>
    <n v="1799.6"/>
    <n v="6"/>
    <n v="1551.79"/>
    <s v="Cash"/>
    <n v="10797.599999999999"/>
    <s v="High"/>
    <n v="14.371619619174632"/>
  </r>
  <r>
    <s v="CUST1068"/>
    <s v="North"/>
    <s v="India"/>
    <s v="Karnataka"/>
    <n v="9304184751"/>
    <x v="1"/>
    <x v="14"/>
    <n v="1330.26"/>
    <n v="2"/>
    <n v="669.54"/>
    <s v="Credit Card"/>
    <n v="2660.52"/>
    <s v="Low"/>
    <n v="25.165757070046457"/>
  </r>
  <r>
    <s v="CUST1069"/>
    <s v="North"/>
    <s v="India"/>
    <s v="Rajasthan"/>
    <n v="9141039856"/>
    <x v="2"/>
    <x v="13"/>
    <n v="322.57"/>
    <n v="13"/>
    <n v="684.45"/>
    <s v="Debit Card"/>
    <n v="4193.41"/>
    <s v="Low"/>
    <n v="16.322038627274701"/>
  </r>
  <r>
    <s v="CUST1070"/>
    <s v="East"/>
    <s v="India"/>
    <s v="Tamil Nadu"/>
    <n v="9640589740"/>
    <x v="2"/>
    <x v="7"/>
    <n v="1510.41"/>
    <n v="1"/>
    <n v="434.79"/>
    <s v="Net Banking"/>
    <n v="1510.41"/>
    <s v="Low"/>
    <n v="28.786223608159371"/>
  </r>
  <r>
    <s v="CUST1071"/>
    <s v="South"/>
    <s v="India"/>
    <s v="Karnataka"/>
    <n v="9406517796"/>
    <x v="0"/>
    <x v="5"/>
    <n v="1085.52"/>
    <n v="4"/>
    <n v="749.57"/>
    <s v="Credit Card"/>
    <n v="4342.08"/>
    <s v="Low"/>
    <n v="17.262924681258752"/>
  </r>
  <r>
    <s v="CUST1072"/>
    <s v="South"/>
    <s v="India"/>
    <s v="Maharashtra"/>
    <n v="9606169051"/>
    <x v="1"/>
    <x v="1"/>
    <n v="1441.79"/>
    <n v="14"/>
    <n v="3929.03"/>
    <s v="Debit Card"/>
    <n v="20185.059999999998"/>
    <s v="High"/>
    <n v="19.465039985018624"/>
  </r>
  <r>
    <s v="CUST1073"/>
    <s v="North"/>
    <s v="India"/>
    <s v="Rajasthan"/>
    <n v="9350461925"/>
    <x v="1"/>
    <x v="14"/>
    <n v="686.64"/>
    <n v="8"/>
    <n v="878.07"/>
    <s v="Credit Card"/>
    <n v="5493.12"/>
    <s v="Medium"/>
    <n v="15.984904753582665"/>
  </r>
  <r>
    <s v="CUST1074"/>
    <s v="West"/>
    <s v="India"/>
    <s v="West Bengal"/>
    <n v="9996467468"/>
    <x v="0"/>
    <x v="5"/>
    <n v="2830.64"/>
    <n v="6"/>
    <n v="1830.75"/>
    <s v="Credit Card"/>
    <n v="16983.84"/>
    <s v="High"/>
    <n v="10.779364384026227"/>
  </r>
  <r>
    <s v="CUST1075"/>
    <s v="West"/>
    <s v="India"/>
    <s v="Rajasthan"/>
    <n v="9128345710"/>
    <x v="2"/>
    <x v="11"/>
    <n v="2619.08"/>
    <n v="6"/>
    <n v="4245.2299999999996"/>
    <s v="Net Banking"/>
    <n v="15714.48"/>
    <s v="High"/>
    <n v="27.014765999256735"/>
  </r>
  <r>
    <s v="CUST1076"/>
    <s v="East"/>
    <s v="India"/>
    <s v="Gujarat"/>
    <n v="9392055351"/>
    <x v="0"/>
    <x v="4"/>
    <n v="503.93"/>
    <n v="11"/>
    <n v="1183.48"/>
    <s v="Cash"/>
    <n v="5543.2300000000005"/>
    <s v="Medium"/>
    <n v="21.35000712580932"/>
  </r>
  <r>
    <s v="CUST1077"/>
    <s v="South"/>
    <s v="India"/>
    <s v="Tamil Nadu"/>
    <n v="9980141994"/>
    <x v="1"/>
    <x v="8"/>
    <n v="467.71"/>
    <n v="12"/>
    <n v="1223.23"/>
    <s v="Credit Card"/>
    <n v="5612.5199999999995"/>
    <s v="Medium"/>
    <n v="21.794666210543571"/>
  </r>
  <r>
    <s v="CUST1078"/>
    <s v="West"/>
    <s v="India"/>
    <s v="Maharashtra"/>
    <n v="9403999543"/>
    <x v="1"/>
    <x v="6"/>
    <n v="2307.34"/>
    <n v="14"/>
    <n v="3571.15"/>
    <s v="Debit Card"/>
    <n v="32302.760000000002"/>
    <s v="High"/>
    <n v="11.055247291562702"/>
  </r>
  <r>
    <s v="CUST1079"/>
    <s v="North"/>
    <s v="India"/>
    <s v="Uttar Pradesh"/>
    <n v="9164427200"/>
    <x v="2"/>
    <x v="7"/>
    <n v="1513.57"/>
    <n v="14"/>
    <n v="5761.18"/>
    <s v="Credit Card"/>
    <n v="21189.98"/>
    <s v="High"/>
    <n v="27.188227643442797"/>
  </r>
  <r>
    <s v="CUST1080"/>
    <s v="North"/>
    <s v="India"/>
    <s v="Maharashtra"/>
    <n v="858947"/>
    <x v="1"/>
    <x v="14"/>
    <n v="2213.4499999999998"/>
    <n v="3"/>
    <n v="867.33"/>
    <s v="Debit Card"/>
    <n v="6640.3499999999995"/>
    <s v="Medium"/>
    <n v="13.06151031195645"/>
  </r>
  <r>
    <s v="CUST1081"/>
    <s v="South"/>
    <s v="India"/>
    <s v="Tamil Nadu"/>
    <n v="9789825611"/>
    <x v="0"/>
    <x v="5"/>
    <n v="384.21"/>
    <n v="5"/>
    <n v="354.16"/>
    <s v="Debit Card"/>
    <n v="1921.05"/>
    <s v="Low"/>
    <n v="18.435751281851072"/>
  </r>
  <r>
    <s v="CUST1082"/>
    <s v="East"/>
    <s v="India"/>
    <s v="Maharashtra"/>
    <n v="9371462183"/>
    <x v="2"/>
    <x v="11"/>
    <n v="498.41"/>
    <n v="7"/>
    <n v="435.36"/>
    <s v="UPI"/>
    <n v="3488.8700000000003"/>
    <s v="Low"/>
    <n v="12.478538896548166"/>
  </r>
  <r>
    <s v="CUST1083"/>
    <s v="North"/>
    <s v="India"/>
    <s v="Maharashtra"/>
    <n v="9444893207"/>
    <x v="0"/>
    <x v="5"/>
    <n v="1599.24"/>
    <n v="10"/>
    <n v="4368.75"/>
    <s v="UPI"/>
    <n v="15992.4"/>
    <s v="High"/>
    <n v="27.317663390110305"/>
  </r>
  <r>
    <s v="CUST1084"/>
    <s v="West"/>
    <s v="India"/>
    <s v="Rajasthan"/>
    <n v="9339358166"/>
    <x v="1"/>
    <x v="3"/>
    <n v="962.07"/>
    <n v="9"/>
    <n v="905.89"/>
    <s v="UPI"/>
    <n v="8658.630000000001"/>
    <s v="Medium"/>
    <n v="10.462278674570918"/>
  </r>
  <r>
    <s v="CUST1085"/>
    <s v="West"/>
    <s v="India"/>
    <s v="West Bengal"/>
    <n v="9119201960"/>
    <x v="1"/>
    <x v="8"/>
    <n v="1673.22"/>
    <n v="7"/>
    <n v="1935.04"/>
    <s v="Debit Card"/>
    <n v="11712.54"/>
    <s v="High"/>
    <n v="16.521096192627731"/>
  </r>
  <r>
    <s v="CUST1086"/>
    <s v="West"/>
    <s v="India"/>
    <s v="Tamil Nadu"/>
    <n v="9161700373"/>
    <x v="0"/>
    <x v="2"/>
    <n v="791.24"/>
    <n v="4"/>
    <n v="366.17"/>
    <s v="UPI"/>
    <n v="3164.96"/>
    <s v="Low"/>
    <n v="11.569498508669936"/>
  </r>
  <r>
    <s v="CUST1087"/>
    <s v="South"/>
    <s v="India"/>
    <s v="Uttar Pradesh"/>
    <n v="9242580997"/>
    <x v="0"/>
    <x v="4"/>
    <n v="1210.8599999999999"/>
    <n v="3"/>
    <n v="698.75"/>
    <s v="UPI"/>
    <n v="3632.58"/>
    <s v="Low"/>
    <n v="19.235639683090255"/>
  </r>
  <r>
    <s v="CUST1088"/>
    <s v="North"/>
    <s v="India"/>
    <s v="Gujarat"/>
    <n v="9370714466"/>
    <x v="0"/>
    <x v="2"/>
    <n v="619.57000000000005"/>
    <n v="7"/>
    <n v="562.75"/>
    <s v="UPI"/>
    <n v="4336.9900000000007"/>
    <s v="Low"/>
    <n v="12.975589060615771"/>
  </r>
  <r>
    <s v="CUST1089"/>
    <s v="West"/>
    <s v="India"/>
    <s v="Maharashtra"/>
    <n v="9427647839"/>
    <x v="2"/>
    <x v="9"/>
    <n v="308.5"/>
    <n v="15"/>
    <n v="802.96"/>
    <s v="Credit Card"/>
    <n v="4627.5"/>
    <s v="Low"/>
    <n v="17.351917882225827"/>
  </r>
  <r>
    <s v="CUST1090"/>
    <s v="East"/>
    <s v="India"/>
    <s v="Maharashtra"/>
    <n v="9942075195"/>
    <x v="0"/>
    <x v="5"/>
    <n v="1853.37"/>
    <n v="5"/>
    <n v="1661.2"/>
    <s v="Credit Card"/>
    <n v="9266.8499999999985"/>
    <s v="Medium"/>
    <n v="17.92626404873285"/>
  </r>
  <r>
    <s v="CUST1091"/>
    <s v="South"/>
    <s v="India"/>
    <s v="Rajasthan"/>
    <n v="9857569233"/>
    <x v="0"/>
    <x v="10"/>
    <n v="2501.48"/>
    <n v="6"/>
    <n v="4142.5200000000004"/>
    <s v="Net Banking"/>
    <n v="15008.880000000001"/>
    <s v="High"/>
    <n v="27.600460527367797"/>
  </r>
  <r>
    <s v="CUST1092"/>
    <s v="South"/>
    <s v="India"/>
    <s v="Karnataka"/>
    <n v="9944969047"/>
    <x v="2"/>
    <x v="12"/>
    <n v="2596.13"/>
    <n v="5"/>
    <n v="1453.33"/>
    <s v="Net Banking"/>
    <n v="12980.650000000001"/>
    <s v="High"/>
    <n v="11.196126542199348"/>
  </r>
  <r>
    <s v="CUST1093"/>
    <s v="West"/>
    <s v="India"/>
    <s v="West Bengal"/>
    <n v="56428436"/>
    <x v="2"/>
    <x v="11"/>
    <n v="2209.52"/>
    <n v="6"/>
    <n v="3760.49"/>
    <s v="Net Banking"/>
    <n v="13257.119999999999"/>
    <s v="High"/>
    <n v="28.365813992782744"/>
  </r>
  <r>
    <s v="CUST1094"/>
    <s v="East"/>
    <s v="India"/>
    <s v="Gujarat"/>
    <n v="9705241364"/>
    <x v="1"/>
    <x v="3"/>
    <n v="458.7"/>
    <n v="7"/>
    <n v="839.97"/>
    <s v="Net Banking"/>
    <n v="3210.9"/>
    <s v="Low"/>
    <n v="26.159955152760912"/>
  </r>
  <r>
    <s v="CUST1095"/>
    <s v="East"/>
    <s v="India"/>
    <s v="Karnataka"/>
    <n v="9245776255"/>
    <x v="0"/>
    <x v="4"/>
    <n v="833.16"/>
    <n v="12"/>
    <n v="2135.63"/>
    <s v="Net Banking"/>
    <n v="9997.92"/>
    <s v="Medium"/>
    <n v="21.360743034551188"/>
  </r>
  <r>
    <s v="CUST1096"/>
    <s v="East"/>
    <s v="India"/>
    <s v="Uttar Pradesh"/>
    <n v="9881212856"/>
    <x v="0"/>
    <x v="4"/>
    <n v="238.37"/>
    <n v="13"/>
    <n v="586.94000000000005"/>
    <s v="Net Banking"/>
    <n v="3098.81"/>
    <s v="Low"/>
    <n v="18.940819217699701"/>
  </r>
  <r>
    <s v="CUST1097"/>
    <s v="West"/>
    <s v="India"/>
    <s v="Gujarat"/>
    <n v="9916091858"/>
    <x v="0"/>
    <x v="5"/>
    <n v="820.05"/>
    <n v="3"/>
    <n v="419.41"/>
    <s v="UPI"/>
    <n v="2460.1499999999996"/>
    <s v="Low"/>
    <n v="17.048147470682686"/>
  </r>
  <r>
    <s v="CUST1098"/>
    <s v="North"/>
    <s v="India"/>
    <s v="Karnataka"/>
    <n v="9425191872"/>
    <x v="2"/>
    <x v="11"/>
    <n v="2716.33"/>
    <n v="8"/>
    <n v="5513.14"/>
    <s v="Net Banking"/>
    <n v="21730.639999999999"/>
    <s v="High"/>
    <n v="25.370352644929007"/>
  </r>
  <r>
    <s v="CUST1099"/>
    <s v="North"/>
    <s v="India"/>
    <s v="Uttar Pradesh"/>
    <n v="9459337548"/>
    <x v="0"/>
    <x v="10"/>
    <n v="1918.81"/>
    <n v="1"/>
    <n v="442.75"/>
    <s v="Cash"/>
    <n v="1918.81"/>
    <s v="Low"/>
    <n v="23.07419702836654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x v="0"/>
    <x v="0"/>
    <s v="Overturn"/>
    <x v="0"/>
    <x v="0"/>
    <s v="Dry"/>
    <x v="0"/>
    <s v="Overtaking"/>
    <n v="0"/>
  </r>
  <r>
    <x v="1"/>
    <x v="1"/>
    <x v="1"/>
    <s v="Overturn"/>
    <x v="0"/>
    <x v="1"/>
    <s v="Damaged"/>
    <x v="0"/>
    <s v="Distracted Driving"/>
    <n v="0"/>
  </r>
  <r>
    <x v="2"/>
    <x v="2"/>
    <x v="1"/>
    <s v="Overturn"/>
    <x v="1"/>
    <x v="2"/>
    <s v="Under Construction"/>
    <x v="1"/>
    <s v="Overtaking"/>
    <n v="3"/>
  </r>
  <r>
    <x v="3"/>
    <x v="3"/>
    <x v="2"/>
    <s v="Collision"/>
    <x v="2"/>
    <x v="0"/>
    <s v="Dry"/>
    <x v="1"/>
    <s v="Brake Failure"/>
    <n v="4"/>
  </r>
  <r>
    <x v="4"/>
    <x v="4"/>
    <x v="3"/>
    <s v="Animal Hit"/>
    <x v="0"/>
    <x v="0"/>
    <s v="Damaged"/>
    <x v="0"/>
    <s v="Weather"/>
    <n v="0"/>
  </r>
  <r>
    <x v="5"/>
    <x v="5"/>
    <x v="3"/>
    <s v="Animal Hit"/>
    <x v="3"/>
    <x v="3"/>
    <s v="Damaged"/>
    <x v="2"/>
    <s v="Drunk Driving"/>
    <n v="4"/>
  </r>
  <r>
    <x v="6"/>
    <x v="6"/>
    <x v="4"/>
    <s v="Animal Hit"/>
    <x v="3"/>
    <x v="3"/>
    <s v="Dry"/>
    <x v="2"/>
    <s v="Speeding"/>
    <n v="2"/>
  </r>
  <r>
    <x v="7"/>
    <x v="7"/>
    <x v="0"/>
    <s v="Overturn"/>
    <x v="3"/>
    <x v="1"/>
    <s v="Wet"/>
    <x v="0"/>
    <s v="Speeding"/>
    <n v="5"/>
  </r>
  <r>
    <x v="8"/>
    <x v="8"/>
    <x v="1"/>
    <s v="Collision"/>
    <x v="3"/>
    <x v="2"/>
    <s v="Under Construction"/>
    <x v="2"/>
    <s v="Weather"/>
    <n v="2"/>
  </r>
  <r>
    <x v="9"/>
    <x v="9"/>
    <x v="5"/>
    <s v="Collision"/>
    <x v="4"/>
    <x v="0"/>
    <s v="Under Construction"/>
    <x v="3"/>
    <s v="Speeding"/>
    <n v="5"/>
  </r>
  <r>
    <x v="10"/>
    <x v="10"/>
    <x v="2"/>
    <s v="Object Hit"/>
    <x v="0"/>
    <x v="0"/>
    <s v="Damaged"/>
    <x v="1"/>
    <s v="Overtaking"/>
    <n v="0"/>
  </r>
  <r>
    <x v="11"/>
    <x v="11"/>
    <x v="5"/>
    <s v="Pedestrian Hit"/>
    <x v="3"/>
    <x v="0"/>
    <s v="Under Construction"/>
    <x v="3"/>
    <s v="Overtaking"/>
    <n v="3"/>
  </r>
  <r>
    <x v="12"/>
    <x v="1"/>
    <x v="3"/>
    <s v="Pedestrian Hit"/>
    <x v="1"/>
    <x v="3"/>
    <s v="Wet"/>
    <x v="3"/>
    <s v="Speeding"/>
    <n v="1"/>
  </r>
  <r>
    <x v="13"/>
    <x v="12"/>
    <x v="6"/>
    <s v="Overturn"/>
    <x v="5"/>
    <x v="1"/>
    <s v="Dry"/>
    <x v="3"/>
    <s v="Drunk Driving"/>
    <n v="2"/>
  </r>
  <r>
    <x v="14"/>
    <x v="13"/>
    <x v="6"/>
    <s v="Pedestrian Hit"/>
    <x v="4"/>
    <x v="1"/>
    <s v="Under Construction"/>
    <x v="0"/>
    <s v="Brake Failure"/>
    <n v="1"/>
  </r>
  <r>
    <x v="15"/>
    <x v="14"/>
    <x v="6"/>
    <s v="Overturn"/>
    <x v="2"/>
    <x v="1"/>
    <s v="Damaged"/>
    <x v="3"/>
    <s v="Distracted Driving"/>
    <n v="5"/>
  </r>
  <r>
    <x v="16"/>
    <x v="15"/>
    <x v="0"/>
    <s v="Collision"/>
    <x v="4"/>
    <x v="2"/>
    <s v="Under Construction"/>
    <x v="0"/>
    <s v="Distracted Driving"/>
    <n v="4"/>
  </r>
  <r>
    <x v="17"/>
    <x v="16"/>
    <x v="7"/>
    <s v="Overturn"/>
    <x v="3"/>
    <x v="2"/>
    <s v="Under Construction"/>
    <x v="0"/>
    <s v="Brake Failure"/>
    <n v="3"/>
  </r>
  <r>
    <x v="18"/>
    <x v="17"/>
    <x v="4"/>
    <s v="Overturn"/>
    <x v="4"/>
    <x v="3"/>
    <s v="Wet"/>
    <x v="3"/>
    <s v="Drunk Driving"/>
    <n v="4"/>
  </r>
  <r>
    <x v="19"/>
    <x v="18"/>
    <x v="4"/>
    <s v="Collision"/>
    <x v="1"/>
    <x v="3"/>
    <s v="Damaged"/>
    <x v="0"/>
    <s v="Brake Failure"/>
    <n v="5"/>
  </r>
  <r>
    <x v="20"/>
    <x v="19"/>
    <x v="2"/>
    <s v="Animal Hit"/>
    <x v="4"/>
    <x v="2"/>
    <s v="Damaged"/>
    <x v="2"/>
    <s v="Distracted Driving"/>
    <n v="5"/>
  </r>
  <r>
    <x v="21"/>
    <x v="20"/>
    <x v="0"/>
    <s v="Object Hit"/>
    <x v="2"/>
    <x v="1"/>
    <s v="Under Construction"/>
    <x v="1"/>
    <s v="Weather"/>
    <n v="4"/>
  </r>
  <r>
    <x v="22"/>
    <x v="13"/>
    <x v="6"/>
    <s v="Collision"/>
    <x v="1"/>
    <x v="3"/>
    <s v="Under Construction"/>
    <x v="3"/>
    <s v="Weather"/>
    <n v="4"/>
  </r>
  <r>
    <x v="23"/>
    <x v="21"/>
    <x v="1"/>
    <s v="Object Hit"/>
    <x v="2"/>
    <x v="3"/>
    <s v="Dry"/>
    <x v="0"/>
    <s v="Overtaking"/>
    <n v="0"/>
  </r>
  <r>
    <x v="24"/>
    <x v="22"/>
    <x v="4"/>
    <s v="Animal Hit"/>
    <x v="4"/>
    <x v="3"/>
    <s v="Damaged"/>
    <x v="1"/>
    <s v="Drunk Driving"/>
    <n v="1"/>
  </r>
  <r>
    <x v="25"/>
    <x v="23"/>
    <x v="2"/>
    <s v="Collision"/>
    <x v="5"/>
    <x v="0"/>
    <s v="Damaged"/>
    <x v="0"/>
    <s v="Weather"/>
    <n v="0"/>
  </r>
  <r>
    <x v="26"/>
    <x v="24"/>
    <x v="0"/>
    <s v="Pedestrian Hit"/>
    <x v="3"/>
    <x v="2"/>
    <s v="Wet"/>
    <x v="1"/>
    <s v="Overtaking"/>
    <n v="0"/>
  </r>
  <r>
    <x v="27"/>
    <x v="25"/>
    <x v="0"/>
    <s v="Overturn"/>
    <x v="1"/>
    <x v="1"/>
    <s v="Dry"/>
    <x v="3"/>
    <s v="Brake Failure"/>
    <n v="4"/>
  </r>
  <r>
    <x v="28"/>
    <x v="26"/>
    <x v="6"/>
    <s v="Animal Hit"/>
    <x v="0"/>
    <x v="3"/>
    <s v="Damaged"/>
    <x v="3"/>
    <s v="Weather"/>
    <n v="4"/>
  </r>
  <r>
    <x v="29"/>
    <x v="27"/>
    <x v="2"/>
    <s v="Pedestrian Hit"/>
    <x v="3"/>
    <x v="1"/>
    <s v="Under Construction"/>
    <x v="3"/>
    <s v="Distracted Driving"/>
    <n v="0"/>
  </r>
  <r>
    <x v="30"/>
    <x v="28"/>
    <x v="7"/>
    <s v="Object Hit"/>
    <x v="4"/>
    <x v="3"/>
    <s v="Wet"/>
    <x v="3"/>
    <s v="Overtaking"/>
    <n v="5"/>
  </r>
  <r>
    <x v="31"/>
    <x v="29"/>
    <x v="6"/>
    <s v="Pedestrian Hit"/>
    <x v="0"/>
    <x v="3"/>
    <s v="Damaged"/>
    <x v="1"/>
    <s v="Drunk Driving"/>
    <n v="2"/>
  </r>
  <r>
    <x v="32"/>
    <x v="30"/>
    <x v="2"/>
    <s v="Object Hit"/>
    <x v="0"/>
    <x v="2"/>
    <s v="Damaged"/>
    <x v="1"/>
    <s v="Distracted Driving"/>
    <n v="1"/>
  </r>
  <r>
    <x v="33"/>
    <x v="31"/>
    <x v="7"/>
    <s v="Animal Hit"/>
    <x v="1"/>
    <x v="0"/>
    <s v="Under Construction"/>
    <x v="2"/>
    <s v="Drunk Driving"/>
    <n v="1"/>
  </r>
  <r>
    <x v="34"/>
    <x v="32"/>
    <x v="1"/>
    <s v="Overturn"/>
    <x v="2"/>
    <x v="0"/>
    <s v="Wet"/>
    <x v="3"/>
    <s v="Speeding"/>
    <n v="3"/>
  </r>
  <r>
    <x v="35"/>
    <x v="33"/>
    <x v="7"/>
    <s v="Animal Hit"/>
    <x v="0"/>
    <x v="0"/>
    <s v="Wet"/>
    <x v="0"/>
    <s v="Distracted Driving"/>
    <n v="4"/>
  </r>
  <r>
    <x v="36"/>
    <x v="18"/>
    <x v="5"/>
    <s v="Object Hit"/>
    <x v="4"/>
    <x v="0"/>
    <s v="Under Construction"/>
    <x v="2"/>
    <s v="Overtaking"/>
    <n v="5"/>
  </r>
  <r>
    <x v="37"/>
    <x v="34"/>
    <x v="3"/>
    <s v="Overturn"/>
    <x v="0"/>
    <x v="2"/>
    <s v="Under Construction"/>
    <x v="3"/>
    <s v="Speeding"/>
    <n v="0"/>
  </r>
  <r>
    <x v="38"/>
    <x v="35"/>
    <x v="2"/>
    <s v="Animal Hit"/>
    <x v="3"/>
    <x v="1"/>
    <s v="Under Construction"/>
    <x v="1"/>
    <s v="Speeding"/>
    <n v="2"/>
  </r>
  <r>
    <x v="39"/>
    <x v="36"/>
    <x v="0"/>
    <s v="Overturn"/>
    <x v="0"/>
    <x v="3"/>
    <s v="Damaged"/>
    <x v="1"/>
    <s v="Weather"/>
    <n v="1"/>
  </r>
  <r>
    <x v="40"/>
    <x v="37"/>
    <x v="0"/>
    <s v="Animal Hit"/>
    <x v="0"/>
    <x v="0"/>
    <s v="Wet"/>
    <x v="2"/>
    <s v="Brake Failure"/>
    <n v="4"/>
  </r>
  <r>
    <x v="41"/>
    <x v="38"/>
    <x v="1"/>
    <s v="Collision"/>
    <x v="3"/>
    <x v="1"/>
    <s v="Under Construction"/>
    <x v="2"/>
    <s v="Speeding"/>
    <n v="2"/>
  </r>
  <r>
    <x v="42"/>
    <x v="34"/>
    <x v="3"/>
    <s v="Overturn"/>
    <x v="1"/>
    <x v="2"/>
    <s v="Under Construction"/>
    <x v="2"/>
    <s v="Brake Failure"/>
    <n v="2"/>
  </r>
  <r>
    <x v="43"/>
    <x v="39"/>
    <x v="0"/>
    <s v="Animal Hit"/>
    <x v="3"/>
    <x v="2"/>
    <s v="Wet"/>
    <x v="1"/>
    <s v="Weather"/>
    <n v="4"/>
  </r>
  <r>
    <x v="44"/>
    <x v="40"/>
    <x v="0"/>
    <s v="Overturn"/>
    <x v="5"/>
    <x v="0"/>
    <s v="Wet"/>
    <x v="3"/>
    <s v="Brake Failure"/>
    <n v="3"/>
  </r>
  <r>
    <x v="45"/>
    <x v="41"/>
    <x v="1"/>
    <s v="Animal Hit"/>
    <x v="4"/>
    <x v="3"/>
    <s v="Dry"/>
    <x v="2"/>
    <s v="Speeding"/>
    <n v="0"/>
  </r>
  <r>
    <x v="46"/>
    <x v="42"/>
    <x v="0"/>
    <s v="Overturn"/>
    <x v="3"/>
    <x v="1"/>
    <s v="Dry"/>
    <x v="3"/>
    <s v="Overtaking"/>
    <n v="1"/>
  </r>
  <r>
    <x v="47"/>
    <x v="43"/>
    <x v="6"/>
    <s v="Animal Hit"/>
    <x v="4"/>
    <x v="3"/>
    <s v="Wet"/>
    <x v="1"/>
    <s v="Drunk Driving"/>
    <n v="0"/>
  </r>
  <r>
    <x v="48"/>
    <x v="7"/>
    <x v="7"/>
    <s v="Collision"/>
    <x v="4"/>
    <x v="0"/>
    <s v="Dry"/>
    <x v="0"/>
    <s v="Weather"/>
    <n v="5"/>
  </r>
  <r>
    <x v="49"/>
    <x v="33"/>
    <x v="3"/>
    <s v="Pedestrian Hit"/>
    <x v="2"/>
    <x v="1"/>
    <s v="Damaged"/>
    <x v="2"/>
    <s v="Speeding"/>
    <n v="2"/>
  </r>
  <r>
    <x v="50"/>
    <x v="44"/>
    <x v="5"/>
    <s v="Collision"/>
    <x v="1"/>
    <x v="2"/>
    <s v="Dry"/>
    <x v="0"/>
    <s v="Drunk Driving"/>
    <n v="0"/>
  </r>
  <r>
    <x v="51"/>
    <x v="29"/>
    <x v="4"/>
    <s v="Animal Hit"/>
    <x v="2"/>
    <x v="1"/>
    <s v="Damaged"/>
    <x v="3"/>
    <s v="Weather"/>
    <n v="2"/>
  </r>
  <r>
    <x v="52"/>
    <x v="45"/>
    <x v="7"/>
    <s v="Pedestrian Hit"/>
    <x v="3"/>
    <x v="2"/>
    <s v="Under Construction"/>
    <x v="0"/>
    <s v="Drunk Driving"/>
    <n v="3"/>
  </r>
  <r>
    <x v="53"/>
    <x v="46"/>
    <x v="0"/>
    <s v="Animal Hit"/>
    <x v="2"/>
    <x v="2"/>
    <s v="Dry"/>
    <x v="3"/>
    <s v="Drunk Driving"/>
    <n v="5"/>
  </r>
  <r>
    <x v="54"/>
    <x v="47"/>
    <x v="0"/>
    <s v="Overturn"/>
    <x v="0"/>
    <x v="0"/>
    <s v="Damaged"/>
    <x v="0"/>
    <s v="Brake Failure"/>
    <n v="4"/>
  </r>
  <r>
    <x v="55"/>
    <x v="48"/>
    <x v="3"/>
    <s v="Overturn"/>
    <x v="5"/>
    <x v="1"/>
    <s v="Under Construction"/>
    <x v="0"/>
    <s v="Drunk Driving"/>
    <n v="3"/>
  </r>
  <r>
    <x v="56"/>
    <x v="47"/>
    <x v="3"/>
    <s v="Overturn"/>
    <x v="5"/>
    <x v="2"/>
    <s v="Under Construction"/>
    <x v="2"/>
    <s v="Speeding"/>
    <n v="5"/>
  </r>
  <r>
    <x v="57"/>
    <x v="49"/>
    <x v="0"/>
    <s v="Collision"/>
    <x v="0"/>
    <x v="1"/>
    <s v="Wet"/>
    <x v="2"/>
    <s v="Brake Failure"/>
    <n v="2"/>
  </r>
  <r>
    <x v="58"/>
    <x v="18"/>
    <x v="1"/>
    <s v="Collision"/>
    <x v="3"/>
    <x v="1"/>
    <s v="Under Construction"/>
    <x v="1"/>
    <s v="Speeding"/>
    <n v="4"/>
  </r>
  <r>
    <x v="59"/>
    <x v="50"/>
    <x v="2"/>
    <s v="Overturn"/>
    <x v="3"/>
    <x v="3"/>
    <s v="Dry"/>
    <x v="1"/>
    <s v="Drunk Driving"/>
    <n v="2"/>
  </r>
  <r>
    <x v="60"/>
    <x v="51"/>
    <x v="0"/>
    <s v="Animal Hit"/>
    <x v="1"/>
    <x v="1"/>
    <s v="Under Construction"/>
    <x v="1"/>
    <s v="Brake Failure"/>
    <n v="5"/>
  </r>
  <r>
    <x v="61"/>
    <x v="52"/>
    <x v="1"/>
    <s v="Collision"/>
    <x v="4"/>
    <x v="1"/>
    <s v="Damaged"/>
    <x v="2"/>
    <s v="Speeding"/>
    <n v="5"/>
  </r>
  <r>
    <x v="62"/>
    <x v="53"/>
    <x v="6"/>
    <s v="Animal Hit"/>
    <x v="0"/>
    <x v="0"/>
    <s v="Under Construction"/>
    <x v="3"/>
    <s v="Brake Failure"/>
    <n v="1"/>
  </r>
  <r>
    <x v="63"/>
    <x v="37"/>
    <x v="7"/>
    <s v="Overturn"/>
    <x v="5"/>
    <x v="3"/>
    <s v="Under Construction"/>
    <x v="3"/>
    <s v="Speeding"/>
    <n v="4"/>
  </r>
  <r>
    <x v="64"/>
    <x v="54"/>
    <x v="2"/>
    <s v="Pedestrian Hit"/>
    <x v="0"/>
    <x v="2"/>
    <s v="Dry"/>
    <x v="2"/>
    <s v="Distracted Driving"/>
    <n v="1"/>
  </r>
  <r>
    <x v="65"/>
    <x v="49"/>
    <x v="5"/>
    <s v="Overturn"/>
    <x v="4"/>
    <x v="2"/>
    <s v="Wet"/>
    <x v="2"/>
    <s v="Overtaking"/>
    <n v="2"/>
  </r>
  <r>
    <x v="66"/>
    <x v="55"/>
    <x v="3"/>
    <s v="Collision"/>
    <x v="1"/>
    <x v="0"/>
    <s v="Wet"/>
    <x v="1"/>
    <s v="Speeding"/>
    <n v="1"/>
  </r>
  <r>
    <x v="67"/>
    <x v="41"/>
    <x v="3"/>
    <s v="Overturn"/>
    <x v="1"/>
    <x v="2"/>
    <s v="Damaged"/>
    <x v="0"/>
    <s v="Drunk Driving"/>
    <n v="3"/>
  </r>
  <r>
    <x v="68"/>
    <x v="35"/>
    <x v="1"/>
    <s v="Animal Hit"/>
    <x v="4"/>
    <x v="3"/>
    <s v="Under Construction"/>
    <x v="0"/>
    <s v="Overtaking"/>
    <n v="0"/>
  </r>
  <r>
    <x v="69"/>
    <x v="56"/>
    <x v="7"/>
    <s v="Animal Hit"/>
    <x v="1"/>
    <x v="1"/>
    <s v="Damaged"/>
    <x v="2"/>
    <s v="Speeding"/>
    <n v="4"/>
  </r>
  <r>
    <x v="70"/>
    <x v="57"/>
    <x v="6"/>
    <s v="Object Hit"/>
    <x v="3"/>
    <x v="0"/>
    <s v="Dry"/>
    <x v="2"/>
    <s v="Overtaking"/>
    <n v="2"/>
  </r>
  <r>
    <x v="71"/>
    <x v="58"/>
    <x v="1"/>
    <s v="Animal Hit"/>
    <x v="5"/>
    <x v="3"/>
    <s v="Dry"/>
    <x v="3"/>
    <s v="Drunk Driving"/>
    <n v="4"/>
  </r>
  <r>
    <x v="72"/>
    <x v="59"/>
    <x v="3"/>
    <s v="Animal Hit"/>
    <x v="4"/>
    <x v="2"/>
    <s v="Dry"/>
    <x v="2"/>
    <s v="Weather"/>
    <n v="1"/>
  </r>
  <r>
    <x v="73"/>
    <x v="60"/>
    <x v="3"/>
    <s v="Animal Hit"/>
    <x v="3"/>
    <x v="0"/>
    <s v="Wet"/>
    <x v="1"/>
    <s v="Drunk Driving"/>
    <n v="3"/>
  </r>
  <r>
    <x v="74"/>
    <x v="5"/>
    <x v="7"/>
    <s v="Pedestrian Hit"/>
    <x v="5"/>
    <x v="3"/>
    <s v="Damaged"/>
    <x v="0"/>
    <s v="Distracted Driving"/>
    <n v="4"/>
  </r>
  <r>
    <x v="75"/>
    <x v="61"/>
    <x v="3"/>
    <s v="Object Hit"/>
    <x v="2"/>
    <x v="3"/>
    <s v="Dry"/>
    <x v="1"/>
    <s v="Weather"/>
    <n v="4"/>
  </r>
  <r>
    <x v="76"/>
    <x v="62"/>
    <x v="6"/>
    <s v="Object Hit"/>
    <x v="2"/>
    <x v="0"/>
    <s v="Under Construction"/>
    <x v="2"/>
    <s v="Brake Failure"/>
    <n v="2"/>
  </r>
  <r>
    <x v="77"/>
    <x v="63"/>
    <x v="6"/>
    <s v="Pedestrian Hit"/>
    <x v="3"/>
    <x v="0"/>
    <s v="Damaged"/>
    <x v="1"/>
    <s v="Overtaking"/>
    <n v="0"/>
  </r>
  <r>
    <x v="78"/>
    <x v="64"/>
    <x v="1"/>
    <s v="Collision"/>
    <x v="5"/>
    <x v="0"/>
    <s v="Wet"/>
    <x v="2"/>
    <s v="Overtaking"/>
    <n v="5"/>
  </r>
  <r>
    <x v="79"/>
    <x v="65"/>
    <x v="5"/>
    <s v="Overturn"/>
    <x v="0"/>
    <x v="3"/>
    <s v="Dry"/>
    <x v="2"/>
    <s v="Distracted Driving"/>
    <n v="4"/>
  </r>
  <r>
    <x v="80"/>
    <x v="66"/>
    <x v="4"/>
    <s v="Collision"/>
    <x v="3"/>
    <x v="0"/>
    <s v="Dry"/>
    <x v="3"/>
    <s v="Distracted Driving"/>
    <n v="0"/>
  </r>
  <r>
    <x v="81"/>
    <x v="67"/>
    <x v="5"/>
    <s v="Collision"/>
    <x v="5"/>
    <x v="2"/>
    <s v="Wet"/>
    <x v="1"/>
    <s v="Overtaking"/>
    <n v="3"/>
  </r>
  <r>
    <x v="82"/>
    <x v="68"/>
    <x v="1"/>
    <s v="Object Hit"/>
    <x v="4"/>
    <x v="2"/>
    <s v="Damaged"/>
    <x v="0"/>
    <s v="Weather"/>
    <n v="4"/>
  </r>
  <r>
    <x v="83"/>
    <x v="69"/>
    <x v="2"/>
    <s v="Overturn"/>
    <x v="4"/>
    <x v="3"/>
    <s v="Under Construction"/>
    <x v="3"/>
    <s v="Brake Failure"/>
    <n v="2"/>
  </r>
  <r>
    <x v="84"/>
    <x v="70"/>
    <x v="4"/>
    <s v="Animal Hit"/>
    <x v="2"/>
    <x v="1"/>
    <s v="Wet"/>
    <x v="3"/>
    <s v="Speeding"/>
    <n v="3"/>
  </r>
  <r>
    <x v="85"/>
    <x v="56"/>
    <x v="7"/>
    <s v="Animal Hit"/>
    <x v="3"/>
    <x v="0"/>
    <s v="Dry"/>
    <x v="3"/>
    <s v="Drunk Driving"/>
    <n v="2"/>
  </r>
  <r>
    <x v="86"/>
    <x v="71"/>
    <x v="5"/>
    <s v="Animal Hit"/>
    <x v="4"/>
    <x v="2"/>
    <s v="Wet"/>
    <x v="0"/>
    <s v="Brake Failure"/>
    <n v="1"/>
  </r>
  <r>
    <x v="87"/>
    <x v="72"/>
    <x v="0"/>
    <s v="Object Hit"/>
    <x v="1"/>
    <x v="2"/>
    <s v="Dry"/>
    <x v="0"/>
    <s v="Weather"/>
    <n v="2"/>
  </r>
  <r>
    <x v="88"/>
    <x v="3"/>
    <x v="6"/>
    <s v="Object Hit"/>
    <x v="0"/>
    <x v="1"/>
    <s v="Dry"/>
    <x v="2"/>
    <s v="Speeding"/>
    <n v="0"/>
  </r>
  <r>
    <x v="89"/>
    <x v="73"/>
    <x v="1"/>
    <s v="Collision"/>
    <x v="3"/>
    <x v="0"/>
    <s v="Dry"/>
    <x v="3"/>
    <s v="Overtaking"/>
    <n v="1"/>
  </r>
  <r>
    <x v="90"/>
    <x v="74"/>
    <x v="7"/>
    <s v="Pedestrian Hit"/>
    <x v="0"/>
    <x v="1"/>
    <s v="Under Construction"/>
    <x v="1"/>
    <s v="Speeding"/>
    <n v="4"/>
  </r>
  <r>
    <x v="91"/>
    <x v="7"/>
    <x v="0"/>
    <s v="Collision"/>
    <x v="5"/>
    <x v="0"/>
    <s v="Damaged"/>
    <x v="1"/>
    <s v="Distracted Driving"/>
    <n v="1"/>
  </r>
  <r>
    <x v="92"/>
    <x v="75"/>
    <x v="2"/>
    <s v="Pedestrian Hit"/>
    <x v="4"/>
    <x v="1"/>
    <s v="Wet"/>
    <x v="3"/>
    <s v="Distracted Driving"/>
    <n v="5"/>
  </r>
  <r>
    <x v="93"/>
    <x v="76"/>
    <x v="7"/>
    <s v="Animal Hit"/>
    <x v="1"/>
    <x v="0"/>
    <s v="Damaged"/>
    <x v="1"/>
    <s v="Distracted Driving"/>
    <n v="0"/>
  </r>
  <r>
    <x v="94"/>
    <x v="77"/>
    <x v="1"/>
    <s v="Collision"/>
    <x v="1"/>
    <x v="0"/>
    <s v="Damaged"/>
    <x v="2"/>
    <s v="Drunk Driving"/>
    <n v="3"/>
  </r>
  <r>
    <x v="95"/>
    <x v="78"/>
    <x v="3"/>
    <s v="Animal Hit"/>
    <x v="3"/>
    <x v="0"/>
    <s v="Under Construction"/>
    <x v="2"/>
    <s v="Drunk Driving"/>
    <n v="5"/>
  </r>
  <r>
    <x v="96"/>
    <x v="31"/>
    <x v="4"/>
    <s v="Object Hit"/>
    <x v="2"/>
    <x v="2"/>
    <s v="Damaged"/>
    <x v="1"/>
    <s v="Drunk Driving"/>
    <n v="3"/>
  </r>
  <r>
    <x v="97"/>
    <x v="79"/>
    <x v="4"/>
    <s v="Pedestrian Hit"/>
    <x v="4"/>
    <x v="2"/>
    <s v="Wet"/>
    <x v="3"/>
    <s v="Speeding"/>
    <n v="0"/>
  </r>
  <r>
    <x v="98"/>
    <x v="80"/>
    <x v="7"/>
    <s v="Overturn"/>
    <x v="0"/>
    <x v="0"/>
    <s v="Wet"/>
    <x v="2"/>
    <s v="Drunk Driving"/>
    <n v="4"/>
  </r>
  <r>
    <x v="99"/>
    <x v="18"/>
    <x v="5"/>
    <s v="Pedestrian Hit"/>
    <x v="4"/>
    <x v="2"/>
    <s v="Damaged"/>
    <x v="3"/>
    <s v="Overtaking"/>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6E96813-02FE-40B1-A49C-754BCAE91250}" name="PivotTable3"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2:E19" firstHeaderRow="1" firstDataRow="2" firstDataCol="1"/>
  <pivotFields count="14">
    <pivotField showAll="0"/>
    <pivotField showAll="0"/>
    <pivotField showAll="0"/>
    <pivotField showAll="0"/>
    <pivotField showAll="0"/>
    <pivotField axis="axisCol" showAll="0">
      <items count="4">
        <item x="0"/>
        <item x="2"/>
        <item x="1"/>
        <item t="default"/>
      </items>
    </pivotField>
    <pivotField axis="axisRow" showAll="0">
      <items count="16">
        <item x="8"/>
        <item x="6"/>
        <item x="14"/>
        <item x="5"/>
        <item x="11"/>
        <item x="10"/>
        <item x="4"/>
        <item x="12"/>
        <item x="9"/>
        <item x="0"/>
        <item x="13"/>
        <item x="3"/>
        <item x="1"/>
        <item x="7"/>
        <item x="2"/>
        <item t="default"/>
      </items>
    </pivotField>
    <pivotField showAll="0"/>
    <pivotField showAll="0"/>
    <pivotField showAll="0"/>
    <pivotField showAll="0"/>
    <pivotField dataField="1" showAll="0"/>
    <pivotField showAll="0"/>
    <pivotField numFmtId="2" showAll="0"/>
  </pivotFields>
  <rowFields count="1">
    <field x="6"/>
  </rowFields>
  <rowItems count="16">
    <i>
      <x/>
    </i>
    <i>
      <x v="1"/>
    </i>
    <i>
      <x v="2"/>
    </i>
    <i>
      <x v="3"/>
    </i>
    <i>
      <x v="4"/>
    </i>
    <i>
      <x v="5"/>
    </i>
    <i>
      <x v="6"/>
    </i>
    <i>
      <x v="7"/>
    </i>
    <i>
      <x v="8"/>
    </i>
    <i>
      <x v="9"/>
    </i>
    <i>
      <x v="10"/>
    </i>
    <i>
      <x v="11"/>
    </i>
    <i>
      <x v="12"/>
    </i>
    <i>
      <x v="13"/>
    </i>
    <i>
      <x v="14"/>
    </i>
    <i t="grand">
      <x/>
    </i>
  </rowItems>
  <colFields count="1">
    <field x="5"/>
  </colFields>
  <colItems count="4">
    <i>
      <x/>
    </i>
    <i>
      <x v="1"/>
    </i>
    <i>
      <x v="2"/>
    </i>
    <i t="grand">
      <x/>
    </i>
  </colItems>
  <dataFields count="1">
    <dataField name="Sum of Revenue" fld="11" baseField="0" baseItem="0"/>
  </dataFields>
  <formats count="2">
    <format dxfId="6">
      <pivotArea type="all" dataOnly="0" outline="0" fieldPosition="0"/>
    </format>
    <format dxfId="7">
      <pivotArea type="all" dataOnly="0"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7F778E16-DAF5-49E8-B307-57F1CD44807C}" sourceName="Location">
  <data>
    <tabular pivotCacheId="1293945934">
      <items count="8">
        <i x="5" s="1"/>
        <i x="3" s="1"/>
        <i x="6" s="1"/>
        <i x="4" s="1"/>
        <i x="0" s="1"/>
        <i x="7"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hicle_Type" xr10:uid="{2C337908-7E81-4C03-AD2C-E70F5338BF1B}" sourceName="Vehicle Type">
  <data>
    <tabular pivotCacheId="1293945934">
      <items count="6">
        <i x="0" s="1"/>
        <i x="1" s="1"/>
        <i x="5" s="1"/>
        <i x="3" s="1"/>
        <i x="4"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ther_Condition" xr10:uid="{1191B37F-42A4-4832-8B08-5E7BB44A218B}" sourceName="Weather Condition">
  <data>
    <tabular pivotCacheId="1293945934">
      <items count="4">
        <i x="0" s="1"/>
        <i x="1"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 1" xr10:uid="{8832C398-3791-4D65-AC7F-4962CC6B77CC}" cache="Slicer_Location" caption="Location" startItem="3" style="SlicerStyleLight4" rowHeight="234950"/>
  <slicer name="Vehicle Type 1" xr10:uid="{33CE63E3-B912-4370-80B7-F77BE9032047}" cache="Slicer_Vehicle_Type" caption="Vehicle Type" style="SlicerStyleLight4" rowHeight="234950"/>
  <slicer name="Weather Condition 1" xr10:uid="{5F4FF8A9-907C-494E-8F7F-ABBFA5B43671}" cache="Slicer_Weather_Condition" caption="Weather Condition" style="SlicerStyleLight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E68F984-F2A1-486C-A1EA-0E3A0CACCEC9}" name="Table4" displayName="Table4" ref="I3:K13" totalsRowShown="0">
  <autoFilter ref="I3:K13" xr:uid="{EE68F984-F2A1-486C-A1EA-0E3A0CACCEC9}"/>
  <tableColumns count="3">
    <tableColumn id="1" xr3:uid="{0EA3EB9F-D6D8-42A2-A962-7D604C2D80B1}" name="product id"/>
    <tableColumn id="2" xr3:uid="{AFE206B0-CBBC-4859-BA54-B4299E3EFCF2}" name="product name"/>
    <tableColumn id="3" xr3:uid="{56B7A95A-88AD-4E4D-B249-116259C14539}" name="stock level"/>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4.bin"/><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BFCC3-280A-43BE-9FD4-54C96255B4A6}">
  <dimension ref="A1:K13"/>
  <sheetViews>
    <sheetView tabSelected="1" topLeftCell="C1" workbookViewId="0">
      <selection activeCell="D18" sqref="D18"/>
    </sheetView>
  </sheetViews>
  <sheetFormatPr defaultRowHeight="14.4" x14ac:dyDescent="0.3"/>
  <cols>
    <col min="3" max="3" width="10.33203125" bestFit="1" customWidth="1"/>
    <col min="5" max="5" width="11.5546875" customWidth="1"/>
    <col min="6" max="6" width="11.33203125" customWidth="1"/>
    <col min="8" max="8" width="3.21875" customWidth="1"/>
    <col min="9" max="9" width="11.5546875" customWidth="1"/>
    <col min="10" max="10" width="14.77734375" customWidth="1"/>
    <col min="11" max="11" width="11.6640625" customWidth="1"/>
  </cols>
  <sheetData>
    <row r="1" spans="1:11" x14ac:dyDescent="0.3">
      <c r="C1" s="6" t="s">
        <v>60</v>
      </c>
    </row>
    <row r="2" spans="1:11" x14ac:dyDescent="0.3">
      <c r="A2" s="2" t="s">
        <v>1</v>
      </c>
      <c r="B2" s="2" t="s">
        <v>34</v>
      </c>
      <c r="C2" s="2" t="s">
        <v>31</v>
      </c>
      <c r="D2" s="5" t="s">
        <v>32</v>
      </c>
      <c r="E2" s="5" t="s">
        <v>33</v>
      </c>
    </row>
    <row r="3" spans="1:11" x14ac:dyDescent="0.3">
      <c r="A3" s="4">
        <v>1</v>
      </c>
      <c r="B3" s="4" t="s">
        <v>0</v>
      </c>
      <c r="C3" s="3">
        <v>43132</v>
      </c>
      <c r="D3">
        <f>DATEDIF(C3,F3,"Y")</f>
        <v>7</v>
      </c>
      <c r="E3">
        <f>DATEDIF(C3,$F$3,"YM")</f>
        <v>11</v>
      </c>
      <c r="F3" s="1">
        <v>46029</v>
      </c>
      <c r="I3" t="s">
        <v>35</v>
      </c>
      <c r="J3" t="s">
        <v>9</v>
      </c>
      <c r="K3" t="s">
        <v>10</v>
      </c>
    </row>
    <row r="4" spans="1:11" x14ac:dyDescent="0.3">
      <c r="A4" s="4">
        <v>2</v>
      </c>
      <c r="B4" s="4" t="s">
        <v>2</v>
      </c>
      <c r="C4" s="3">
        <v>43498</v>
      </c>
      <c r="D4">
        <f t="shared" ref="D4:D10" si="0">DATEDIF(C4,$F$3,"Y")</f>
        <v>6</v>
      </c>
      <c r="E4">
        <f t="shared" ref="E4:E10" si="1">DATEDIF(C4,$F$3,"YM")</f>
        <v>11</v>
      </c>
      <c r="I4" t="s">
        <v>11</v>
      </c>
      <c r="J4" t="s">
        <v>36</v>
      </c>
      <c r="K4">
        <v>8</v>
      </c>
    </row>
    <row r="5" spans="1:11" x14ac:dyDescent="0.3">
      <c r="A5" s="4">
        <v>3</v>
      </c>
      <c r="B5" s="4" t="s">
        <v>3</v>
      </c>
      <c r="C5" s="3">
        <v>42403</v>
      </c>
      <c r="D5">
        <f t="shared" si="0"/>
        <v>9</v>
      </c>
      <c r="E5">
        <f t="shared" si="1"/>
        <v>11</v>
      </c>
      <c r="I5" t="s">
        <v>12</v>
      </c>
      <c r="J5" t="s">
        <v>22</v>
      </c>
      <c r="K5">
        <v>23</v>
      </c>
    </row>
    <row r="6" spans="1:11" x14ac:dyDescent="0.3">
      <c r="A6" s="4">
        <v>4</v>
      </c>
      <c r="B6" s="4" t="s">
        <v>4</v>
      </c>
      <c r="C6" s="3">
        <v>43865</v>
      </c>
      <c r="D6">
        <f t="shared" si="0"/>
        <v>5</v>
      </c>
      <c r="E6">
        <f t="shared" si="1"/>
        <v>11</v>
      </c>
      <c r="I6" t="s">
        <v>13</v>
      </c>
      <c r="J6" t="s">
        <v>23</v>
      </c>
      <c r="K6">
        <v>2</v>
      </c>
    </row>
    <row r="7" spans="1:11" x14ac:dyDescent="0.3">
      <c r="A7" s="4">
        <v>5</v>
      </c>
      <c r="B7" s="4" t="s">
        <v>5</v>
      </c>
      <c r="C7" s="3">
        <v>42040</v>
      </c>
      <c r="D7">
        <f t="shared" si="0"/>
        <v>10</v>
      </c>
      <c r="E7">
        <f t="shared" si="1"/>
        <v>11</v>
      </c>
      <c r="I7" t="s">
        <v>14</v>
      </c>
      <c r="J7" t="s">
        <v>24</v>
      </c>
      <c r="K7">
        <v>60</v>
      </c>
    </row>
    <row r="8" spans="1:11" x14ac:dyDescent="0.3">
      <c r="A8" s="4">
        <v>6</v>
      </c>
      <c r="B8" s="4" t="s">
        <v>6</v>
      </c>
      <c r="C8" s="3">
        <v>42649</v>
      </c>
      <c r="D8">
        <f t="shared" si="0"/>
        <v>9</v>
      </c>
      <c r="E8">
        <f t="shared" si="1"/>
        <v>3</v>
      </c>
      <c r="I8" t="s">
        <v>15</v>
      </c>
      <c r="J8" t="s">
        <v>25</v>
      </c>
      <c r="K8">
        <v>35</v>
      </c>
    </row>
    <row r="9" spans="1:11" x14ac:dyDescent="0.3">
      <c r="A9" s="4">
        <v>7</v>
      </c>
      <c r="B9" s="4" t="s">
        <v>7</v>
      </c>
      <c r="C9" s="3">
        <v>42315</v>
      </c>
      <c r="D9">
        <f t="shared" si="0"/>
        <v>10</v>
      </c>
      <c r="E9">
        <f t="shared" si="1"/>
        <v>2</v>
      </c>
      <c r="I9" t="s">
        <v>16</v>
      </c>
      <c r="J9" t="s">
        <v>26</v>
      </c>
      <c r="K9">
        <v>75</v>
      </c>
    </row>
    <row r="10" spans="1:11" x14ac:dyDescent="0.3">
      <c r="A10" s="4">
        <v>8</v>
      </c>
      <c r="B10" s="4" t="s">
        <v>8</v>
      </c>
      <c r="C10" s="3">
        <v>45330</v>
      </c>
      <c r="D10">
        <f t="shared" si="0"/>
        <v>1</v>
      </c>
      <c r="E10">
        <f t="shared" si="1"/>
        <v>10</v>
      </c>
      <c r="I10" t="s">
        <v>17</v>
      </c>
      <c r="J10" t="s">
        <v>27</v>
      </c>
      <c r="K10">
        <v>26</v>
      </c>
    </row>
    <row r="11" spans="1:11" x14ac:dyDescent="0.3">
      <c r="I11" t="s">
        <v>18</v>
      </c>
      <c r="J11" t="s">
        <v>37</v>
      </c>
      <c r="K11">
        <v>9</v>
      </c>
    </row>
    <row r="12" spans="1:11" x14ac:dyDescent="0.3">
      <c r="I12" t="s">
        <v>19</v>
      </c>
      <c r="J12" t="s">
        <v>29</v>
      </c>
      <c r="K12">
        <v>90</v>
      </c>
    </row>
    <row r="13" spans="1:11" x14ac:dyDescent="0.3">
      <c r="I13" t="s">
        <v>20</v>
      </c>
      <c r="J13" t="s">
        <v>30</v>
      </c>
      <c r="K13">
        <v>40</v>
      </c>
    </row>
  </sheetData>
  <phoneticPr fontId="2" type="noConversion"/>
  <conditionalFormatting sqref="J17">
    <cfRule type="cellIs" dxfId="4" priority="5" operator="greaterThan">
      <formula>50</formula>
    </cfRule>
  </conditionalFormatting>
  <conditionalFormatting sqref="K3:K13">
    <cfRule type="cellIs" dxfId="3" priority="3" operator="lessThan">
      <formula>10</formula>
    </cfRule>
    <cfRule type="cellIs" dxfId="2" priority="4" operator="greaterThan">
      <formula>50</formula>
    </cfRule>
  </conditionalFormatting>
  <conditionalFormatting sqref="K3">
    <cfRule type="cellIs" priority="1" operator="greaterThanOrEqual">
      <formula>50</formula>
    </cfRule>
  </conditionalFormatting>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2F893-C939-4325-A72D-4C39642369CA}">
  <dimension ref="A1:C12"/>
  <sheetViews>
    <sheetView tabSelected="1" workbookViewId="0">
      <selection activeCell="D18" sqref="D18"/>
    </sheetView>
  </sheetViews>
  <sheetFormatPr defaultRowHeight="14.4" x14ac:dyDescent="0.3"/>
  <sheetData>
    <row r="1" spans="1:3" x14ac:dyDescent="0.3">
      <c r="A1" s="6" t="s">
        <v>66</v>
      </c>
    </row>
    <row r="2" spans="1:3" x14ac:dyDescent="0.3">
      <c r="A2" t="s">
        <v>35</v>
      </c>
      <c r="B2" t="s">
        <v>9</v>
      </c>
      <c r="C2" t="s">
        <v>10</v>
      </c>
    </row>
    <row r="3" spans="1:3" x14ac:dyDescent="0.3">
      <c r="A3" t="s">
        <v>11</v>
      </c>
      <c r="B3" t="s">
        <v>36</v>
      </c>
      <c r="C3">
        <v>60</v>
      </c>
    </row>
    <row r="4" spans="1:3" x14ac:dyDescent="0.3">
      <c r="A4" t="s">
        <v>12</v>
      </c>
      <c r="B4" t="s">
        <v>22</v>
      </c>
      <c r="C4">
        <v>40</v>
      </c>
    </row>
    <row r="5" spans="1:3" x14ac:dyDescent="0.3">
      <c r="A5" t="s">
        <v>13</v>
      </c>
      <c r="B5" t="s">
        <v>23</v>
      </c>
      <c r="C5">
        <v>9</v>
      </c>
    </row>
    <row r="6" spans="1:3" x14ac:dyDescent="0.3">
      <c r="A6" t="s">
        <v>14</v>
      </c>
      <c r="B6" t="s">
        <v>62</v>
      </c>
      <c r="C6">
        <v>18</v>
      </c>
    </row>
    <row r="7" spans="1:3" x14ac:dyDescent="0.3">
      <c r="A7" t="s">
        <v>15</v>
      </c>
      <c r="B7" t="s">
        <v>24</v>
      </c>
      <c r="C7">
        <v>5</v>
      </c>
    </row>
    <row r="8" spans="1:3" x14ac:dyDescent="0.3">
      <c r="A8" t="s">
        <v>16</v>
      </c>
      <c r="B8" t="s">
        <v>63</v>
      </c>
      <c r="C8">
        <v>30</v>
      </c>
    </row>
    <row r="9" spans="1:3" x14ac:dyDescent="0.3">
      <c r="A9" t="s">
        <v>17</v>
      </c>
      <c r="B9" t="s">
        <v>64</v>
      </c>
      <c r="C9">
        <v>29</v>
      </c>
    </row>
    <row r="10" spans="1:3" x14ac:dyDescent="0.3">
      <c r="A10" t="s">
        <v>18</v>
      </c>
      <c r="B10" t="s">
        <v>65</v>
      </c>
      <c r="C10">
        <v>55</v>
      </c>
    </row>
    <row r="11" spans="1:3" x14ac:dyDescent="0.3">
      <c r="A11" t="s">
        <v>19</v>
      </c>
      <c r="B11" t="s">
        <v>25</v>
      </c>
      <c r="C11">
        <v>2</v>
      </c>
    </row>
    <row r="12" spans="1:3" x14ac:dyDescent="0.3">
      <c r="A12" t="s">
        <v>20</v>
      </c>
      <c r="B12" t="s">
        <v>28</v>
      </c>
      <c r="C12">
        <v>90</v>
      </c>
    </row>
  </sheetData>
  <phoneticPr fontId="2" type="noConversion"/>
  <conditionalFormatting sqref="C3:C12">
    <cfRule type="cellIs" dxfId="1" priority="1" operator="lessThan">
      <formula>10</formula>
    </cfRule>
    <cfRule type="cellIs" dxfId="0" priority="2" operator="greaterThan">
      <formula>50</formula>
    </cfRule>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0F24DA-64D1-474A-9C25-2B9CAF8182AA}">
  <sheetPr codeName="Sheet2"/>
  <dimension ref="C1"/>
  <sheetViews>
    <sheetView showGridLines="0" tabSelected="1" topLeftCell="A3" zoomScale="91" workbookViewId="0">
      <selection activeCell="D18" sqref="D18"/>
    </sheetView>
  </sheetViews>
  <sheetFormatPr defaultRowHeight="14.4" x14ac:dyDescent="0.3"/>
  <sheetData>
    <row r="1" spans="3:3" x14ac:dyDescent="0.3">
      <c r="C1" s="6" t="s">
        <v>61</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1A2588-9766-433D-901F-56EC27F5968F}">
  <dimension ref="A1:E19"/>
  <sheetViews>
    <sheetView tabSelected="1" topLeftCell="A17" workbookViewId="0">
      <selection activeCell="D18" sqref="D18"/>
    </sheetView>
  </sheetViews>
  <sheetFormatPr defaultRowHeight="14.4" x14ac:dyDescent="0.3"/>
  <cols>
    <col min="5" max="5" width="11.6640625" customWidth="1"/>
  </cols>
  <sheetData>
    <row r="1" spans="1:5" x14ac:dyDescent="0.3">
      <c r="A1" s="6" t="s">
        <v>59</v>
      </c>
    </row>
    <row r="2" spans="1:5" x14ac:dyDescent="0.3">
      <c r="A2" s="7" t="s">
        <v>57</v>
      </c>
      <c r="B2" s="7" t="s">
        <v>58</v>
      </c>
      <c r="C2" s="2"/>
      <c r="D2" s="2"/>
      <c r="E2" s="2"/>
    </row>
    <row r="3" spans="1:5" x14ac:dyDescent="0.3">
      <c r="A3" s="7" t="s">
        <v>55</v>
      </c>
      <c r="B3" s="2" t="s">
        <v>46</v>
      </c>
      <c r="C3" s="2" t="s">
        <v>38</v>
      </c>
      <c r="D3" s="2" t="s">
        <v>48</v>
      </c>
      <c r="E3" s="2" t="s">
        <v>56</v>
      </c>
    </row>
    <row r="4" spans="1:5" x14ac:dyDescent="0.3">
      <c r="A4" s="8" t="s">
        <v>39</v>
      </c>
      <c r="B4" s="9"/>
      <c r="C4" s="9"/>
      <c r="D4" s="9">
        <v>60997.31</v>
      </c>
      <c r="E4" s="9">
        <v>60997.31</v>
      </c>
    </row>
    <row r="5" spans="1:5" x14ac:dyDescent="0.3">
      <c r="A5" s="8" t="s">
        <v>52</v>
      </c>
      <c r="B5" s="9"/>
      <c r="C5" s="9"/>
      <c r="D5" s="9">
        <v>62605.120000000003</v>
      </c>
      <c r="E5" s="9">
        <v>62605.120000000003</v>
      </c>
    </row>
    <row r="6" spans="1:5" x14ac:dyDescent="0.3">
      <c r="A6" s="8" t="s">
        <v>51</v>
      </c>
      <c r="B6" s="9"/>
      <c r="C6" s="9"/>
      <c r="D6" s="9">
        <v>94747.340000000011</v>
      </c>
      <c r="E6" s="9">
        <v>94747.340000000011</v>
      </c>
    </row>
    <row r="7" spans="1:5" x14ac:dyDescent="0.3">
      <c r="A7" s="8" t="s">
        <v>43</v>
      </c>
      <c r="B7" s="9">
        <v>124148.91999999998</v>
      </c>
      <c r="C7" s="9"/>
      <c r="D7" s="9"/>
      <c r="E7" s="9">
        <v>124148.91999999998</v>
      </c>
    </row>
    <row r="8" spans="1:5" x14ac:dyDescent="0.3">
      <c r="A8" s="8" t="s">
        <v>41</v>
      </c>
      <c r="B8" s="9"/>
      <c r="C8" s="9">
        <v>132031.35999999999</v>
      </c>
      <c r="D8" s="9"/>
      <c r="E8" s="9">
        <v>132031.35999999999</v>
      </c>
    </row>
    <row r="9" spans="1:5" x14ac:dyDescent="0.3">
      <c r="A9" s="8" t="s">
        <v>45</v>
      </c>
      <c r="B9" s="9">
        <v>54425.34</v>
      </c>
      <c r="C9" s="9"/>
      <c r="D9" s="9"/>
      <c r="E9" s="9">
        <v>54425.34</v>
      </c>
    </row>
    <row r="10" spans="1:5" x14ac:dyDescent="0.3">
      <c r="A10" s="8" t="s">
        <v>44</v>
      </c>
      <c r="B10" s="9">
        <v>119963.56</v>
      </c>
      <c r="C10" s="9"/>
      <c r="D10" s="9"/>
      <c r="E10" s="9">
        <v>119963.56</v>
      </c>
    </row>
    <row r="11" spans="1:5" x14ac:dyDescent="0.3">
      <c r="A11" s="8" t="s">
        <v>21</v>
      </c>
      <c r="B11" s="9"/>
      <c r="C11" s="9">
        <v>32288.59</v>
      </c>
      <c r="D11" s="9"/>
      <c r="E11" s="9">
        <v>32288.59</v>
      </c>
    </row>
    <row r="12" spans="1:5" x14ac:dyDescent="0.3">
      <c r="A12" s="8" t="s">
        <v>49</v>
      </c>
      <c r="B12" s="9"/>
      <c r="C12" s="9">
        <v>61809.85</v>
      </c>
      <c r="D12" s="9"/>
      <c r="E12" s="9">
        <v>61809.85</v>
      </c>
    </row>
    <row r="13" spans="1:5" x14ac:dyDescent="0.3">
      <c r="A13" s="8" t="s">
        <v>54</v>
      </c>
      <c r="B13" s="9">
        <v>22888.269999999997</v>
      </c>
      <c r="C13" s="9"/>
      <c r="D13" s="9"/>
      <c r="E13" s="9">
        <v>22888.269999999997</v>
      </c>
    </row>
    <row r="14" spans="1:5" x14ac:dyDescent="0.3">
      <c r="A14" s="8" t="s">
        <v>42</v>
      </c>
      <c r="B14" s="9"/>
      <c r="C14" s="9">
        <v>23446.39</v>
      </c>
      <c r="D14" s="9"/>
      <c r="E14" s="9">
        <v>23446.39</v>
      </c>
    </row>
    <row r="15" spans="1:5" x14ac:dyDescent="0.3">
      <c r="A15" s="8" t="s">
        <v>47</v>
      </c>
      <c r="B15" s="9"/>
      <c r="C15" s="9"/>
      <c r="D15" s="9">
        <v>76993.56</v>
      </c>
      <c r="E15" s="9">
        <v>76993.56</v>
      </c>
    </row>
    <row r="16" spans="1:5" x14ac:dyDescent="0.3">
      <c r="A16" s="8" t="s">
        <v>53</v>
      </c>
      <c r="B16" s="9"/>
      <c r="C16" s="9"/>
      <c r="D16" s="9">
        <v>65863.89</v>
      </c>
      <c r="E16" s="9">
        <v>65863.89</v>
      </c>
    </row>
    <row r="17" spans="1:5" x14ac:dyDescent="0.3">
      <c r="A17" s="8" t="s">
        <v>40</v>
      </c>
      <c r="B17" s="9"/>
      <c r="C17" s="9">
        <v>48121.72</v>
      </c>
      <c r="D17" s="9"/>
      <c r="E17" s="9">
        <v>48121.72</v>
      </c>
    </row>
    <row r="18" spans="1:5" x14ac:dyDescent="0.3">
      <c r="A18" s="8" t="s">
        <v>50</v>
      </c>
      <c r="B18" s="9">
        <v>156837.13999999996</v>
      </c>
      <c r="C18" s="9"/>
      <c r="D18" s="9"/>
      <c r="E18" s="9">
        <v>156837.13999999996</v>
      </c>
    </row>
    <row r="19" spans="1:5" x14ac:dyDescent="0.3">
      <c r="A19" s="8" t="s">
        <v>56</v>
      </c>
      <c r="B19" s="9">
        <v>478263.22999999992</v>
      </c>
      <c r="C19" s="9">
        <v>297697.91000000003</v>
      </c>
      <c r="D19" s="9">
        <v>361207.22000000003</v>
      </c>
      <c r="E19" s="9">
        <v>1137168.3599999999</v>
      </c>
    </row>
  </sheetData>
  <pageMargins left="0.7" right="0.7" top="0.75" bottom="0.75" header="0.3" footer="0.3"/>
  <pageSetup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Sheet5</vt:lpstr>
      <vt:lpstr>Sheet8</vt:lpstr>
      <vt:lpstr>dashboard</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Shubham Gawas</dc:creator>
  <cp:lastModifiedBy>Shubham Gawas</cp:lastModifiedBy>
  <cp:lastPrinted>2026-01-07T02:42:48Z</cp:lastPrinted>
  <dcterms:created xsi:type="dcterms:W3CDTF">2026-01-06T20:48:33Z</dcterms:created>
  <dcterms:modified xsi:type="dcterms:W3CDTF">2026-01-07T02:44:59Z</dcterms:modified>
</cp:coreProperties>
</file>